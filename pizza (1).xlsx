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guilherme_malavazi_ambevtech_com_br/Documents/My Documents/Ambev/"/>
    </mc:Choice>
  </mc:AlternateContent>
  <xr:revisionPtr revIDLastSave="110" documentId="13_ncr:1_{75E8AE2A-47E6-4403-95AB-4FC5A0D8CA14}" xr6:coauthVersionLast="47" xr6:coauthVersionMax="47" xr10:uidLastSave="{32E759D4-F662-4947-95A4-10A0AE6C4688}"/>
  <bookViews>
    <workbookView xWindow="-110" yWindow="-110" windowWidth="19420" windowHeight="10300" activeTab="1" xr2:uid="{3FE718A0-4A2A-48F1-9150-2D6AC56A9F68}"/>
  </bookViews>
  <sheets>
    <sheet name="base" sheetId="1" r:id="rId1"/>
    <sheet name="final" sheetId="2" r:id="rId2"/>
    <sheet name="Planilha1" sheetId="3" r:id="rId3"/>
  </sheets>
  <definedNames>
    <definedName name="_xlnm._FilterDatabase" localSheetId="2" hidden="1">Planilha1!$A$1:$D$15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9" i="2" l="1"/>
  <c r="J73" i="2"/>
  <c r="I72" i="2"/>
  <c r="J67" i="2"/>
  <c r="J64" i="2"/>
  <c r="J65" i="2"/>
  <c r="J66" i="2"/>
  <c r="J6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J3" i="2"/>
  <c r="K3" i="2"/>
  <c r="L3" i="2"/>
  <c r="M3" i="2"/>
  <c r="J4" i="2"/>
  <c r="K4" i="2"/>
  <c r="L4" i="2"/>
  <c r="M4" i="2"/>
  <c r="J5" i="2"/>
  <c r="K5" i="2"/>
  <c r="L5" i="2"/>
  <c r="M5" i="2"/>
  <c r="J6" i="2"/>
  <c r="K6" i="2"/>
  <c r="L6" i="2"/>
  <c r="M6" i="2"/>
  <c r="J7" i="2"/>
  <c r="K7" i="2"/>
  <c r="L7" i="2"/>
  <c r="M7" i="2"/>
  <c r="J8" i="2"/>
  <c r="K8" i="2"/>
  <c r="L8" i="2"/>
  <c r="M8" i="2"/>
  <c r="J9" i="2"/>
  <c r="K9" i="2"/>
  <c r="L9" i="2"/>
  <c r="M9" i="2"/>
  <c r="J10" i="2"/>
  <c r="K10" i="2"/>
  <c r="L10" i="2"/>
  <c r="M10" i="2"/>
  <c r="J11" i="2"/>
  <c r="K11" i="2"/>
  <c r="L11" i="2"/>
  <c r="M11" i="2"/>
  <c r="J12" i="2"/>
  <c r="K12" i="2"/>
  <c r="L12" i="2"/>
  <c r="M12" i="2"/>
  <c r="J13" i="2"/>
  <c r="K13" i="2"/>
  <c r="L13" i="2"/>
  <c r="M13" i="2"/>
  <c r="J14" i="2"/>
  <c r="K14" i="2"/>
  <c r="L14" i="2"/>
  <c r="M14" i="2"/>
  <c r="J15" i="2"/>
  <c r="K15" i="2"/>
  <c r="L15" i="2"/>
  <c r="M15" i="2"/>
  <c r="J16" i="2"/>
  <c r="K16" i="2"/>
  <c r="L16" i="2"/>
  <c r="M16" i="2"/>
  <c r="J17" i="2"/>
  <c r="K17" i="2"/>
  <c r="L17" i="2"/>
  <c r="M17" i="2"/>
  <c r="J18" i="2"/>
  <c r="K18" i="2"/>
  <c r="L18" i="2"/>
  <c r="M18" i="2"/>
  <c r="F3" i="2"/>
  <c r="G3" i="2"/>
  <c r="H3" i="2"/>
  <c r="I3" i="2"/>
  <c r="F4" i="2"/>
  <c r="G4" i="2"/>
  <c r="H4" i="2"/>
  <c r="I4" i="2"/>
  <c r="F5" i="2"/>
  <c r="G5" i="2"/>
  <c r="H5" i="2"/>
  <c r="I5" i="2"/>
  <c r="F6" i="2"/>
  <c r="G6" i="2"/>
  <c r="H6" i="2"/>
  <c r="I6" i="2"/>
  <c r="F7" i="2"/>
  <c r="G7" i="2"/>
  <c r="H7" i="2"/>
  <c r="I7" i="2"/>
  <c r="F8" i="2"/>
  <c r="G8" i="2"/>
  <c r="H8" i="2"/>
  <c r="I8" i="2"/>
  <c r="F9" i="2"/>
  <c r="G9" i="2"/>
  <c r="H9" i="2"/>
  <c r="I9" i="2"/>
  <c r="F10" i="2"/>
  <c r="G10" i="2"/>
  <c r="H10" i="2"/>
  <c r="I10" i="2"/>
  <c r="F11" i="2"/>
  <c r="G11" i="2"/>
  <c r="H11" i="2"/>
  <c r="I11" i="2"/>
  <c r="F12" i="2"/>
  <c r="G12" i="2"/>
  <c r="H12" i="2"/>
  <c r="I12" i="2"/>
  <c r="F13" i="2"/>
  <c r="G13" i="2"/>
  <c r="H13" i="2"/>
  <c r="I13" i="2"/>
  <c r="F14" i="2"/>
  <c r="G14" i="2"/>
  <c r="H14" i="2"/>
  <c r="I14" i="2"/>
  <c r="F15" i="2"/>
  <c r="G15" i="2"/>
  <c r="H15" i="2"/>
  <c r="I15" i="2"/>
  <c r="F16" i="2"/>
  <c r="G16" i="2"/>
  <c r="H16" i="2"/>
  <c r="I16" i="2"/>
  <c r="F17" i="2"/>
  <c r="G17" i="2"/>
  <c r="H17" i="2"/>
  <c r="I17" i="2"/>
  <c r="F18" i="2"/>
  <c r="G18" i="2"/>
  <c r="H18" i="2"/>
  <c r="I18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D18" i="2"/>
  <c r="D17" i="2"/>
  <c r="D16" i="2"/>
  <c r="D15" i="2"/>
  <c r="D14" i="2"/>
  <c r="D13" i="2"/>
  <c r="D12" i="2"/>
  <c r="D8" i="2"/>
  <c r="D9" i="2"/>
  <c r="D10" i="2"/>
  <c r="D11" i="2"/>
  <c r="C8" i="2"/>
  <c r="C9" i="2"/>
  <c r="C10" i="2"/>
  <c r="C11" i="2"/>
  <c r="C12" i="2"/>
  <c r="C13" i="2"/>
  <c r="C14" i="2"/>
  <c r="C15" i="2"/>
  <c r="C16" i="2"/>
  <c r="C17" i="2"/>
  <c r="C18" i="2"/>
  <c r="C4" i="2"/>
  <c r="C3" i="2"/>
  <c r="AG14" i="1"/>
  <c r="AG15" i="1"/>
  <c r="AG16" i="1"/>
  <c r="AG17" i="1"/>
  <c r="AG18" i="1"/>
  <c r="F21" i="1"/>
  <c r="E21" i="1"/>
  <c r="D21" i="1"/>
  <c r="AD21" i="1"/>
  <c r="AE21" i="1"/>
  <c r="AF21" i="1"/>
  <c r="V21" i="1"/>
  <c r="W21" i="1"/>
  <c r="X21" i="1"/>
  <c r="Y21" i="1"/>
  <c r="Z21" i="1"/>
  <c r="AA21" i="1"/>
  <c r="AB21" i="1"/>
  <c r="AC21" i="1"/>
  <c r="T21" i="1"/>
  <c r="U21" i="1"/>
  <c r="F47" i="2"/>
  <c r="AG13" i="1"/>
  <c r="D3" i="2"/>
  <c r="D4" i="2"/>
  <c r="D5" i="2"/>
  <c r="D6" i="2"/>
  <c r="D7" i="2"/>
  <c r="C7" i="2"/>
  <c r="Q21" i="1"/>
  <c r="R21" i="1"/>
  <c r="S21" i="1"/>
  <c r="AG4" i="1"/>
  <c r="AG5" i="1"/>
  <c r="AG6" i="1"/>
  <c r="AG7" i="1"/>
  <c r="AG8" i="1"/>
  <c r="AG9" i="1"/>
  <c r="AG10" i="1"/>
  <c r="AG11" i="1"/>
  <c r="AG12" i="1"/>
  <c r="AG3" i="1"/>
  <c r="B28" i="2"/>
  <c r="B27" i="2"/>
  <c r="B26" i="2"/>
  <c r="C6" i="2"/>
  <c r="C5" i="2"/>
  <c r="G21" i="1"/>
  <c r="H21" i="1"/>
  <c r="I21" i="1"/>
  <c r="J21" i="1"/>
  <c r="K21" i="1"/>
  <c r="L21" i="1"/>
  <c r="M21" i="1"/>
  <c r="N21" i="1"/>
  <c r="O21" i="1"/>
  <c r="P21" i="1"/>
  <c r="AC21" i="2" l="1"/>
  <c r="C52" i="2" s="1"/>
  <c r="AB21" i="2"/>
  <c r="C51" i="2" s="1"/>
  <c r="D51" i="2" s="1"/>
  <c r="C21" i="2"/>
  <c r="V21" i="2"/>
  <c r="C45" i="2" s="1"/>
  <c r="L21" i="2"/>
  <c r="AE18" i="2"/>
  <c r="T21" i="2"/>
  <c r="C43" i="2" s="1"/>
  <c r="N21" i="2"/>
  <c r="K21" i="2"/>
  <c r="W21" i="2"/>
  <c r="W22" i="2" s="1"/>
  <c r="AE16" i="2"/>
  <c r="U21" i="2"/>
  <c r="C44" i="2" s="1"/>
  <c r="R21" i="2"/>
  <c r="C41" i="2" s="1"/>
  <c r="J21" i="2"/>
  <c r="AE15" i="2"/>
  <c r="M21" i="2"/>
  <c r="X21" i="2"/>
  <c r="X22" i="2" s="1"/>
  <c r="Q21" i="2"/>
  <c r="I21" i="2"/>
  <c r="P21" i="2"/>
  <c r="C39" i="2" s="1"/>
  <c r="H21" i="2"/>
  <c r="O21" i="2"/>
  <c r="G21" i="2"/>
  <c r="Z21" i="2"/>
  <c r="Z22" i="2" s="1"/>
  <c r="F21" i="2"/>
  <c r="Y21" i="2"/>
  <c r="Y22" i="2" s="1"/>
  <c r="AA21" i="2"/>
  <c r="C50" i="2" s="1"/>
  <c r="D21" i="2"/>
  <c r="S21" i="2"/>
  <c r="C42" i="2" s="1"/>
  <c r="AE17" i="2"/>
  <c r="AG21" i="1"/>
  <c r="E21" i="2"/>
  <c r="AE14" i="2"/>
  <c r="AE5" i="2"/>
  <c r="AE4" i="2"/>
  <c r="AE11" i="2"/>
  <c r="AE6" i="2"/>
  <c r="AE13" i="2"/>
  <c r="AE12" i="2"/>
  <c r="AE9" i="2"/>
  <c r="AE3" i="2"/>
  <c r="AE7" i="2"/>
  <c r="AE8" i="2"/>
  <c r="AC22" i="2" l="1"/>
  <c r="C48" i="2"/>
  <c r="C47" i="2"/>
  <c r="AB22" i="2"/>
  <c r="C49" i="2"/>
  <c r="C46" i="2"/>
  <c r="D46" i="2" s="1"/>
  <c r="AA22" i="2"/>
  <c r="V22" i="2"/>
  <c r="T22" i="2"/>
  <c r="S22" i="2"/>
  <c r="U22" i="2"/>
  <c r="AE10" i="2"/>
  <c r="P22" i="2"/>
  <c r="K22" i="2"/>
  <c r="C34" i="2"/>
  <c r="D34" i="2" s="1"/>
  <c r="G22" i="2"/>
  <c r="C30" i="2"/>
  <c r="N22" i="2"/>
  <c r="C37" i="2"/>
  <c r="O22" i="2"/>
  <c r="C38" i="2"/>
  <c r="F22" i="2"/>
  <c r="C29" i="2"/>
  <c r="H22" i="2"/>
  <c r="C31" i="2"/>
  <c r="D31" i="2" s="1"/>
  <c r="D22" i="2"/>
  <c r="C27" i="2"/>
  <c r="C22" i="2"/>
  <c r="C26" i="2"/>
  <c r="E22" i="2"/>
  <c r="C28" i="2"/>
  <c r="D28" i="2" s="1"/>
  <c r="I22" i="2"/>
  <c r="C32" i="2"/>
  <c r="L22" i="2"/>
  <c r="C35" i="2"/>
  <c r="R22" i="2"/>
  <c r="M22" i="2"/>
  <c r="C36" i="2"/>
  <c r="D36" i="2" s="1"/>
  <c r="J22" i="2"/>
  <c r="C33" i="2"/>
  <c r="Q22" i="2"/>
  <c r="C40" i="2"/>
  <c r="C59" i="2" l="1"/>
  <c r="C63" i="2" s="1"/>
  <c r="D63" i="2" s="1"/>
  <c r="C77" i="2"/>
  <c r="D77" i="2" s="1"/>
  <c r="C55" i="2"/>
  <c r="E56" i="2" s="1"/>
  <c r="AE21" i="2"/>
  <c r="AE22" i="2" s="1"/>
  <c r="C80" i="2" l="1"/>
  <c r="C78" i="2"/>
  <c r="D78" i="2" s="1"/>
  <c r="C79" i="2"/>
  <c r="D79" i="2" s="1"/>
  <c r="C81" i="2"/>
  <c r="D81" i="2" s="1"/>
  <c r="D59" i="2"/>
  <c r="C61" i="2"/>
  <c r="C60" i="2"/>
  <c r="D60" i="2" s="1"/>
  <c r="D61" i="2" l="1"/>
  <c r="E60" i="2" s="1"/>
  <c r="D80" i="2"/>
  <c r="C62" i="2"/>
  <c r="D62" i="2" s="1"/>
</calcChain>
</file>

<file path=xl/sharedStrings.xml><?xml version="1.0" encoding="utf-8"?>
<sst xmlns="http://schemas.openxmlformats.org/spreadsheetml/2006/main" count="212" uniqueCount="96">
  <si>
    <t>Parma com rucula</t>
  </si>
  <si>
    <t>marguerita</t>
  </si>
  <si>
    <t>Corn bacon</t>
  </si>
  <si>
    <t>Caprese</t>
  </si>
  <si>
    <t>philadelfia</t>
  </si>
  <si>
    <t>frango catupiry</t>
  </si>
  <si>
    <t>Molho de tomate</t>
  </si>
  <si>
    <t>Queijo</t>
  </si>
  <si>
    <t>Rucula</t>
  </si>
  <si>
    <t>Parma</t>
  </si>
  <si>
    <t>Bacon</t>
  </si>
  <si>
    <t>total</t>
  </si>
  <si>
    <t>Tipo</t>
  </si>
  <si>
    <t>Massa</t>
  </si>
  <si>
    <t>Cream chease</t>
  </si>
  <si>
    <t>Catupiry</t>
  </si>
  <si>
    <t>Tomate</t>
  </si>
  <si>
    <t>Manjericão</t>
  </si>
  <si>
    <t>Milho</t>
  </si>
  <si>
    <t>Frango</t>
  </si>
  <si>
    <t>Mussarela de bufula</t>
  </si>
  <si>
    <t>Total por pizza</t>
  </si>
  <si>
    <t>quantidade</t>
  </si>
  <si>
    <t xml:space="preserve">Massa </t>
  </si>
  <si>
    <t xml:space="preserve">Molho de tomate </t>
  </si>
  <si>
    <t xml:space="preserve">Queijo </t>
  </si>
  <si>
    <t xml:space="preserve">Rucula </t>
  </si>
  <si>
    <t xml:space="preserve">Parma </t>
  </si>
  <si>
    <t xml:space="preserve">Bacon </t>
  </si>
  <si>
    <t xml:space="preserve">Cream chease </t>
  </si>
  <si>
    <t xml:space="preserve">Catupiry </t>
  </si>
  <si>
    <t xml:space="preserve">Tomate </t>
  </si>
  <si>
    <t xml:space="preserve">Manjericão </t>
  </si>
  <si>
    <t xml:space="preserve">Milho </t>
  </si>
  <si>
    <t xml:space="preserve">Frango </t>
  </si>
  <si>
    <t xml:space="preserve">Mussarela de bufula </t>
  </si>
  <si>
    <t>nutela</t>
  </si>
  <si>
    <t>banana</t>
  </si>
  <si>
    <t>banana com nutela</t>
  </si>
  <si>
    <t xml:space="preserve">Total por pizza </t>
  </si>
  <si>
    <t xml:space="preserve">banana </t>
  </si>
  <si>
    <t xml:space="preserve">nutela </t>
  </si>
  <si>
    <t>media</t>
  </si>
  <si>
    <t>Ingredientes</t>
  </si>
  <si>
    <t>receita massa</t>
  </si>
  <si>
    <t>farinha</t>
  </si>
  <si>
    <t>agua</t>
  </si>
  <si>
    <t>sal</t>
  </si>
  <si>
    <t>fermento</t>
  </si>
  <si>
    <t>metade</t>
  </si>
  <si>
    <t>votos</t>
  </si>
  <si>
    <t>total de pizza</t>
  </si>
  <si>
    <t>azeitona</t>
  </si>
  <si>
    <t>Azeitona</t>
  </si>
  <si>
    <t xml:space="preserve">azeitona </t>
  </si>
  <si>
    <t xml:space="preserve">total </t>
  </si>
  <si>
    <t>quantidde de pessoas</t>
  </si>
  <si>
    <t>por/pessoa</t>
  </si>
  <si>
    <t>romeu julieta</t>
  </si>
  <si>
    <t>goiabada</t>
  </si>
  <si>
    <t>calabresa</t>
  </si>
  <si>
    <t>abobrinha</t>
  </si>
  <si>
    <t>zuquine</t>
  </si>
  <si>
    <t>aqui montas as pizza</t>
  </si>
  <si>
    <t>aqui ele so pega da base e multiplica os ingredientes</t>
  </si>
  <si>
    <t>lista de ingredientes/quantidade</t>
  </si>
  <si>
    <t>so colocar a quantidade de pizza aqui para gerar os valores</t>
  </si>
  <si>
    <t>coloca primeiro agua gelada</t>
  </si>
  <si>
    <t>coloca sal na agua</t>
  </si>
  <si>
    <t>coloca fermento na agua</t>
  </si>
  <si>
    <t xml:space="preserve">e ai vai colocando farinha ate conseguir sovar no balcao </t>
  </si>
  <si>
    <t>deixa descasar 1H junta ela de novo e deixa por mais 20 min</t>
  </si>
  <si>
    <t>ai so separar em 300g e deixar mais 9h</t>
  </si>
  <si>
    <t>peperoni</t>
  </si>
  <si>
    <t>crostine</t>
  </si>
  <si>
    <t>crotine</t>
  </si>
  <si>
    <t>mortadela</t>
  </si>
  <si>
    <t>pistache</t>
  </si>
  <si>
    <t>pernil de porco</t>
  </si>
  <si>
    <t>montandela</t>
  </si>
  <si>
    <t>Pernil</t>
  </si>
  <si>
    <t>qualhada</t>
  </si>
  <si>
    <t>fraldinha</t>
  </si>
  <si>
    <t>gorgonzola</t>
  </si>
  <si>
    <t>banana doce de leite</t>
  </si>
  <si>
    <t>doce leite</t>
  </si>
  <si>
    <t>fermento f</t>
  </si>
  <si>
    <t>açucar</t>
  </si>
  <si>
    <t>receitqa do dia 12/01</t>
  </si>
  <si>
    <t>receirta dia 13/01</t>
  </si>
  <si>
    <t xml:space="preserve">sal </t>
  </si>
  <si>
    <t>Mistura tudo, descança por 30 hora, e depois boleia e deixa mais 1 hora</t>
  </si>
  <si>
    <t>Mistura farinha, agua, sal, fermento, deixa 4 horas e depois boleia e deixa mais 48 horas a 5 °C</t>
  </si>
  <si>
    <t>massa</t>
  </si>
  <si>
    <t>C26</t>
  </si>
  <si>
    <t>receita massa italiana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</si>
</sst>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/>
    <xf numFmtId="1" fontId="0" fillId="0" borderId="0" xfId="0" applyNumberFormat="1" applyAlignment="1">
      <alignment horizontal="center"/>
    </xf>
    <xf numFmtId="0" fontId="0" fillId="2" borderId="0" xfId="0" applyFill="1"/>
    <xf numFmtId="9" fontId="0" fillId="0" borderId="0" xfId="1" applyFont="1"/>
    <xf numFmtId="0" fontId="0" fillId="5" borderId="0" xfId="0" applyFill="1"/>
    <xf numFmtId="0" fontId="0" fillId="5" borderId="0" xfId="0" applyFill="1" applyAlignment="1">
      <alignment horizontal="center"/>
    </xf>
    <xf numFmtId="0" fontId="0" fillId="6" borderId="0" xfId="0" applyFill="1"/>
    <xf numFmtId="0" fontId="0" fillId="0" borderId="0" xfId="0" applyAlignment="1">
      <alignment horizontal="center" vertical="center"/>
    </xf>
    <xf numFmtId="0" fontId="0" fillId="7" borderId="0" xfId="0" applyFill="1"/>
    <xf numFmtId="0" fontId="0" fillId="5" borderId="0" xfId="0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7" borderId="0" xfId="0" applyFill="1" applyAlignment="1">
      <alignment horizontal="center" vertical="top" wrapText="1"/>
    </xf>
    <xf numFmtId="0" fontId="0" fillId="8" borderId="0" xfId="0" applyFill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28035-A62E-4DA4-B61E-1E00461591CF}">
  <dimension ref="C2:AG26"/>
  <sheetViews>
    <sheetView topLeftCell="A22" zoomScale="90" zoomScaleNormal="90" workbookViewId="0">
      <selection activeCell="AB21" sqref="AB21"/>
    </sheetView>
  </sheetViews>
  <sheetFormatPr defaultRowHeight="14.5" x14ac:dyDescent="0.35"/>
  <cols>
    <col min="3" max="3" width="16.7265625" bestFit="1" customWidth="1"/>
    <col min="4" max="4" width="16.7265625" customWidth="1"/>
    <col min="5" max="5" width="16.453125" bestFit="1" customWidth="1"/>
    <col min="10" max="10" width="13.1796875" bestFit="1" customWidth="1"/>
    <col min="12" max="12" width="7.453125" bestFit="1" customWidth="1"/>
    <col min="13" max="13" width="10.81640625" bestFit="1" customWidth="1"/>
    <col min="16" max="16" width="19.1796875" bestFit="1" customWidth="1"/>
    <col min="17" max="17" width="19.1796875" customWidth="1"/>
    <col min="18" max="25" width="10" customWidth="1"/>
    <col min="26" max="26" width="13.90625" bestFit="1" customWidth="1"/>
    <col min="27" max="32" width="10" customWidth="1"/>
    <col min="33" max="33" width="13.54296875" bestFit="1" customWidth="1"/>
  </cols>
  <sheetData>
    <row r="2" spans="3:33" x14ac:dyDescent="0.35">
      <c r="C2" s="2" t="s">
        <v>12</v>
      </c>
      <c r="D2" s="2" t="s">
        <v>13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52</v>
      </c>
      <c r="R2" s="2" t="s">
        <v>36</v>
      </c>
      <c r="S2" s="2" t="s">
        <v>37</v>
      </c>
      <c r="T2" s="2" t="s">
        <v>59</v>
      </c>
      <c r="U2" s="2" t="s">
        <v>60</v>
      </c>
      <c r="V2" s="2" t="s">
        <v>61</v>
      </c>
      <c r="W2" s="2" t="s">
        <v>73</v>
      </c>
      <c r="X2" s="2" t="s">
        <v>76</v>
      </c>
      <c r="Y2" s="2" t="s">
        <v>77</v>
      </c>
      <c r="Z2" s="2" t="s">
        <v>78</v>
      </c>
      <c r="AA2" s="2" t="s">
        <v>81</v>
      </c>
      <c r="AB2" s="2" t="s">
        <v>82</v>
      </c>
      <c r="AC2" s="2" t="s">
        <v>83</v>
      </c>
      <c r="AD2" s="2" t="s">
        <v>85</v>
      </c>
      <c r="AE2" s="2"/>
      <c r="AF2" s="2"/>
      <c r="AG2" s="3" t="s">
        <v>21</v>
      </c>
    </row>
    <row r="3" spans="3:33" x14ac:dyDescent="0.35">
      <c r="C3" t="s">
        <v>0</v>
      </c>
      <c r="D3" s="1">
        <v>300</v>
      </c>
      <c r="E3" s="1">
        <v>60</v>
      </c>
      <c r="F3" s="1">
        <v>150</v>
      </c>
      <c r="G3" s="1">
        <v>50</v>
      </c>
      <c r="H3" s="1">
        <v>150</v>
      </c>
      <c r="I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>
        <f>SUM(F3:AF3)-G3</f>
        <v>300</v>
      </c>
    </row>
    <row r="4" spans="3:33" x14ac:dyDescent="0.35">
      <c r="C4" t="s">
        <v>1</v>
      </c>
      <c r="D4" s="1">
        <v>300</v>
      </c>
      <c r="E4" s="1">
        <v>60</v>
      </c>
      <c r="F4" s="1">
        <v>200</v>
      </c>
      <c r="L4">
        <v>70</v>
      </c>
      <c r="M4">
        <v>50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>
        <f t="shared" ref="AG4:AG12" si="0">SUM(F4:AF4)-G4</f>
        <v>320</v>
      </c>
    </row>
    <row r="5" spans="3:33" x14ac:dyDescent="0.35">
      <c r="C5" t="s">
        <v>2</v>
      </c>
      <c r="D5" s="1">
        <v>300</v>
      </c>
      <c r="E5" s="1">
        <v>60</v>
      </c>
      <c r="F5" s="1">
        <v>150</v>
      </c>
      <c r="I5" s="1">
        <v>75</v>
      </c>
      <c r="N5">
        <v>65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>
        <f t="shared" si="0"/>
        <v>290</v>
      </c>
    </row>
    <row r="6" spans="3:33" x14ac:dyDescent="0.35">
      <c r="C6" t="s">
        <v>4</v>
      </c>
      <c r="D6" s="1">
        <v>300</v>
      </c>
      <c r="E6" s="1">
        <v>60</v>
      </c>
      <c r="F6" s="1">
        <v>150</v>
      </c>
      <c r="I6" s="1">
        <v>75</v>
      </c>
      <c r="J6" s="1">
        <v>75</v>
      </c>
      <c r="L6">
        <v>70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>
        <f t="shared" si="0"/>
        <v>370</v>
      </c>
    </row>
    <row r="7" spans="3:33" x14ac:dyDescent="0.35">
      <c r="C7" t="s">
        <v>5</v>
      </c>
      <c r="D7" s="1">
        <v>300</v>
      </c>
      <c r="E7" s="1">
        <v>60</v>
      </c>
      <c r="F7" s="1">
        <v>150</v>
      </c>
      <c r="K7">
        <v>75</v>
      </c>
      <c r="O7">
        <v>150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>
        <f t="shared" si="0"/>
        <v>375</v>
      </c>
    </row>
    <row r="8" spans="3:33" x14ac:dyDescent="0.35">
      <c r="C8" t="s">
        <v>3</v>
      </c>
      <c r="D8" s="1">
        <v>300</v>
      </c>
      <c r="E8" s="1">
        <v>60</v>
      </c>
      <c r="F8" s="1">
        <v>150</v>
      </c>
      <c r="L8">
        <v>70</v>
      </c>
      <c r="P8">
        <v>100</v>
      </c>
      <c r="Q8">
        <v>100</v>
      </c>
      <c r="AG8">
        <f t="shared" si="0"/>
        <v>420</v>
      </c>
    </row>
    <row r="9" spans="3:33" x14ac:dyDescent="0.35">
      <c r="C9" t="s">
        <v>38</v>
      </c>
      <c r="D9" s="1">
        <v>300</v>
      </c>
      <c r="R9">
        <v>150</v>
      </c>
      <c r="S9">
        <v>100</v>
      </c>
      <c r="AG9">
        <f t="shared" si="0"/>
        <v>250</v>
      </c>
    </row>
    <row r="10" spans="3:33" x14ac:dyDescent="0.35">
      <c r="C10" t="s">
        <v>58</v>
      </c>
      <c r="D10" s="1">
        <v>300</v>
      </c>
      <c r="F10" s="1">
        <v>150</v>
      </c>
      <c r="T10">
        <v>200</v>
      </c>
      <c r="AG10">
        <f t="shared" si="0"/>
        <v>350</v>
      </c>
    </row>
    <row r="11" spans="3:33" x14ac:dyDescent="0.35">
      <c r="C11" t="s">
        <v>60</v>
      </c>
      <c r="D11" s="1">
        <v>300</v>
      </c>
      <c r="E11" s="1">
        <v>60</v>
      </c>
      <c r="F11" s="1">
        <v>150</v>
      </c>
      <c r="U11">
        <v>150</v>
      </c>
      <c r="AG11">
        <f t="shared" si="0"/>
        <v>300</v>
      </c>
    </row>
    <row r="12" spans="3:33" x14ac:dyDescent="0.35">
      <c r="C12" t="s">
        <v>62</v>
      </c>
      <c r="D12" s="1">
        <v>300</v>
      </c>
      <c r="E12" s="1">
        <v>60</v>
      </c>
      <c r="F12" s="1">
        <v>150</v>
      </c>
      <c r="V12">
        <v>200</v>
      </c>
      <c r="AG12">
        <f t="shared" si="0"/>
        <v>350</v>
      </c>
    </row>
    <row r="13" spans="3:33" x14ac:dyDescent="0.35">
      <c r="C13" t="s">
        <v>73</v>
      </c>
      <c r="D13" s="1">
        <v>300</v>
      </c>
      <c r="E13" s="1">
        <v>60</v>
      </c>
      <c r="F13" s="1">
        <v>150</v>
      </c>
      <c r="W13">
        <v>150</v>
      </c>
      <c r="AG13">
        <f>SUM(F13:AF13)-G13</f>
        <v>300</v>
      </c>
    </row>
    <row r="14" spans="3:33" x14ac:dyDescent="0.35">
      <c r="C14" t="s">
        <v>74</v>
      </c>
      <c r="D14" s="1">
        <v>300</v>
      </c>
      <c r="AG14">
        <f t="shared" ref="AG14:AG18" si="1">SUM(F14:AF14)-G14</f>
        <v>0</v>
      </c>
    </row>
    <row r="15" spans="3:33" x14ac:dyDescent="0.35">
      <c r="C15" t="s">
        <v>79</v>
      </c>
      <c r="D15" s="1">
        <v>300</v>
      </c>
      <c r="E15" s="1">
        <v>60</v>
      </c>
      <c r="F15" s="1">
        <v>150</v>
      </c>
      <c r="X15">
        <v>210</v>
      </c>
      <c r="Y15">
        <v>15</v>
      </c>
      <c r="AA15">
        <v>100</v>
      </c>
      <c r="AG15">
        <f t="shared" si="1"/>
        <v>475</v>
      </c>
    </row>
    <row r="16" spans="3:33" x14ac:dyDescent="0.35">
      <c r="C16" t="s">
        <v>80</v>
      </c>
      <c r="D16" s="1">
        <v>300</v>
      </c>
      <c r="E16" s="1">
        <v>60</v>
      </c>
      <c r="F16" s="1">
        <v>150</v>
      </c>
      <c r="T16">
        <v>50</v>
      </c>
      <c r="Z16">
        <v>200</v>
      </c>
      <c r="AG16">
        <f t="shared" si="1"/>
        <v>400</v>
      </c>
    </row>
    <row r="17" spans="3:33" x14ac:dyDescent="0.35">
      <c r="C17" t="s">
        <v>82</v>
      </c>
      <c r="D17" s="1">
        <v>300</v>
      </c>
      <c r="E17" s="1">
        <v>60</v>
      </c>
      <c r="F17" s="1">
        <v>150</v>
      </c>
      <c r="AB17">
        <v>200</v>
      </c>
      <c r="AC17">
        <v>50</v>
      </c>
      <c r="AG17">
        <f t="shared" si="1"/>
        <v>400</v>
      </c>
    </row>
    <row r="18" spans="3:33" x14ac:dyDescent="0.35">
      <c r="C18" t="s">
        <v>84</v>
      </c>
      <c r="D18" s="1">
        <v>300</v>
      </c>
      <c r="E18" s="1"/>
      <c r="F18" s="1"/>
      <c r="S18">
        <v>200</v>
      </c>
      <c r="AD18">
        <v>150</v>
      </c>
      <c r="AG18">
        <f t="shared" si="1"/>
        <v>350</v>
      </c>
    </row>
    <row r="19" spans="3:33" x14ac:dyDescent="0.35">
      <c r="D19" s="1"/>
      <c r="E19" s="1"/>
      <c r="F19" s="1"/>
    </row>
    <row r="20" spans="3:33" x14ac:dyDescent="0.35">
      <c r="D20" s="1"/>
    </row>
    <row r="21" spans="3:33" x14ac:dyDescent="0.35">
      <c r="C21" s="4" t="s">
        <v>11</v>
      </c>
      <c r="D21" s="4">
        <f>SUM(D3:D20)</f>
        <v>4800</v>
      </c>
      <c r="E21" s="4">
        <f>SUM(E3:E20)</f>
        <v>720</v>
      </c>
      <c r="F21" s="4">
        <f>SUM(F3:F20)</f>
        <v>2000</v>
      </c>
      <c r="G21" s="4">
        <f t="shared" ref="G21:S21" si="2">SUM(G3:G14)</f>
        <v>50</v>
      </c>
      <c r="H21" s="4">
        <f t="shared" si="2"/>
        <v>150</v>
      </c>
      <c r="I21" s="4">
        <f t="shared" si="2"/>
        <v>150</v>
      </c>
      <c r="J21" s="4">
        <f t="shared" si="2"/>
        <v>75</v>
      </c>
      <c r="K21" s="4">
        <f t="shared" si="2"/>
        <v>75</v>
      </c>
      <c r="L21" s="4">
        <f t="shared" si="2"/>
        <v>210</v>
      </c>
      <c r="M21" s="4">
        <f t="shared" si="2"/>
        <v>50</v>
      </c>
      <c r="N21" s="4">
        <f t="shared" si="2"/>
        <v>65</v>
      </c>
      <c r="O21" s="4">
        <f t="shared" si="2"/>
        <v>150</v>
      </c>
      <c r="P21" s="4">
        <f t="shared" si="2"/>
        <v>100</v>
      </c>
      <c r="Q21" s="4">
        <f t="shared" si="2"/>
        <v>100</v>
      </c>
      <c r="R21" s="4">
        <f t="shared" si="2"/>
        <v>150</v>
      </c>
      <c r="S21" s="4">
        <f t="shared" si="2"/>
        <v>100</v>
      </c>
      <c r="T21" s="4">
        <f>SUM(T3:T20)</f>
        <v>250</v>
      </c>
      <c r="U21" s="4">
        <f>SUM(U3:U20)</f>
        <v>150</v>
      </c>
      <c r="V21" s="4">
        <f t="shared" ref="V21:AC21" si="3">SUM(V3:V20)</f>
        <v>200</v>
      </c>
      <c r="W21" s="4">
        <f t="shared" si="3"/>
        <v>150</v>
      </c>
      <c r="X21" s="4">
        <f t="shared" si="3"/>
        <v>210</v>
      </c>
      <c r="Y21" s="4">
        <f t="shared" si="3"/>
        <v>15</v>
      </c>
      <c r="Z21" s="4">
        <f t="shared" si="3"/>
        <v>200</v>
      </c>
      <c r="AA21" s="4">
        <f t="shared" si="3"/>
        <v>100</v>
      </c>
      <c r="AB21" s="4">
        <f t="shared" si="3"/>
        <v>200</v>
      </c>
      <c r="AC21" s="4">
        <f t="shared" si="3"/>
        <v>50</v>
      </c>
      <c r="AD21" s="4">
        <f>SUM(AD3:AD20)</f>
        <v>150</v>
      </c>
      <c r="AE21" s="4">
        <f t="shared" ref="AE21" si="4">SUM(AE3:AE20)</f>
        <v>0</v>
      </c>
      <c r="AF21" s="4">
        <f t="shared" ref="AF21" si="5">SUM(AF3:AF20)</f>
        <v>0</v>
      </c>
      <c r="AG21" s="4">
        <f>SUM(G21:P21)</f>
        <v>1075</v>
      </c>
    </row>
    <row r="26" spans="3:33" x14ac:dyDescent="0.35">
      <c r="C26" s="8" t="s">
        <v>63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AFF3F-9603-484A-A651-69C5C9221E0F}">
  <dimension ref="B1:AF81"/>
  <sheetViews>
    <sheetView tabSelected="1" topLeftCell="A68" zoomScale="90" zoomScaleNormal="90" workbookViewId="0">
      <selection activeCell="K77" sqref="K77"/>
    </sheetView>
  </sheetViews>
  <sheetFormatPr defaultRowHeight="14.5" x14ac:dyDescent="0.35"/>
  <cols>
    <col min="2" max="2" width="20.26953125" customWidth="1"/>
    <col min="3" max="3" width="11.1796875" bestFit="1" customWidth="1"/>
    <col min="4" max="4" width="19.54296875" bestFit="1" customWidth="1"/>
    <col min="5" max="5" width="18" bestFit="1" customWidth="1"/>
    <col min="6" max="6" width="11.1796875" bestFit="1" customWidth="1"/>
    <col min="7" max="7" width="9.54296875" bestFit="1" customWidth="1"/>
    <col min="8" max="8" width="9.6328125" customWidth="1"/>
    <col min="9" max="9" width="15.453125" bestFit="1" customWidth="1"/>
    <col min="10" max="10" width="10.453125" bestFit="1" customWidth="1"/>
    <col min="11" max="11" width="10.7265625" bestFit="1" customWidth="1"/>
    <col min="12" max="12" width="12.7265625" customWidth="1"/>
    <col min="13" max="13" width="8.1796875" bestFit="1" customWidth="1"/>
    <col min="14" max="14" width="10" bestFit="1" customWidth="1"/>
    <col min="15" max="15" width="22.26953125" bestFit="1" customWidth="1"/>
    <col min="16" max="16" width="14" customWidth="1"/>
    <col min="17" max="17" width="10" customWidth="1"/>
    <col min="18" max="18" width="10.453125" bestFit="1" customWidth="1"/>
    <col min="19" max="30" width="10.453125" customWidth="1"/>
    <col min="31" max="31" width="16.81640625" bestFit="1" customWidth="1"/>
    <col min="32" max="32" width="18" bestFit="1" customWidth="1"/>
  </cols>
  <sheetData>
    <row r="1" spans="2:32" x14ac:dyDescent="0.35">
      <c r="D1" s="8" t="s">
        <v>64</v>
      </c>
    </row>
    <row r="2" spans="2:32" x14ac:dyDescent="0.35">
      <c r="B2" s="2" t="s">
        <v>12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54</v>
      </c>
      <c r="Q2" s="2" t="s">
        <v>41</v>
      </c>
      <c r="R2" s="2" t="s">
        <v>40</v>
      </c>
      <c r="S2" s="2" t="s">
        <v>59</v>
      </c>
      <c r="T2" s="2" t="s">
        <v>60</v>
      </c>
      <c r="U2" s="2" t="s">
        <v>61</v>
      </c>
      <c r="V2" s="2" t="s">
        <v>73</v>
      </c>
      <c r="W2" s="2" t="s">
        <v>76</v>
      </c>
      <c r="X2" s="2" t="s">
        <v>77</v>
      </c>
      <c r="Y2" s="2" t="s">
        <v>78</v>
      </c>
      <c r="Z2" s="2" t="s">
        <v>81</v>
      </c>
      <c r="AA2" s="2" t="s">
        <v>82</v>
      </c>
      <c r="AB2" s="2" t="s">
        <v>83</v>
      </c>
      <c r="AC2" s="2" t="s">
        <v>85</v>
      </c>
      <c r="AD2" s="2"/>
      <c r="AE2" s="3" t="s">
        <v>39</v>
      </c>
      <c r="AF2" s="2" t="s">
        <v>42</v>
      </c>
    </row>
    <row r="3" spans="2:32" x14ac:dyDescent="0.35">
      <c r="B3" t="s">
        <v>0</v>
      </c>
      <c r="C3" s="1">
        <f>$F$26*base!D3</f>
        <v>0</v>
      </c>
      <c r="D3" s="1">
        <f>$F$26*base!E3</f>
        <v>0</v>
      </c>
      <c r="E3" s="1">
        <f>$F$26*base!F3</f>
        <v>0</v>
      </c>
      <c r="F3" s="1">
        <f>$F$26*base!G3</f>
        <v>0</v>
      </c>
      <c r="G3" s="1">
        <f>$F$26*base!H3</f>
        <v>0</v>
      </c>
      <c r="H3" s="1">
        <f>$F$26*base!I3</f>
        <v>0</v>
      </c>
      <c r="I3" s="1">
        <f>$F$26*base!J3</f>
        <v>0</v>
      </c>
      <c r="J3" s="1">
        <f>$F$26*base!K3</f>
        <v>0</v>
      </c>
      <c r="K3" s="1">
        <f>$F$26*base!L3</f>
        <v>0</v>
      </c>
      <c r="L3" s="1">
        <f>$F$26*base!M3</f>
        <v>0</v>
      </c>
      <c r="M3" s="1">
        <f>$F$26*base!N3</f>
        <v>0</v>
      </c>
      <c r="N3" s="1">
        <f>$F$26*base!O3</f>
        <v>0</v>
      </c>
      <c r="O3" s="1">
        <f>$F$26*base!P3</f>
        <v>0</v>
      </c>
      <c r="P3" s="1">
        <f>$F$26*base!Q3</f>
        <v>0</v>
      </c>
      <c r="Q3" s="1">
        <f>$F$26*base!R3</f>
        <v>0</v>
      </c>
      <c r="R3" s="1">
        <f>$F$26*base!S3</f>
        <v>0</v>
      </c>
      <c r="S3" s="1">
        <f>$F$26*base!T3</f>
        <v>0</v>
      </c>
      <c r="T3" s="1">
        <f>$F$26*base!U3</f>
        <v>0</v>
      </c>
      <c r="U3" s="1">
        <f>$F$26*base!V3</f>
        <v>0</v>
      </c>
      <c r="V3" s="1">
        <f>$F$26*base!W3</f>
        <v>0</v>
      </c>
      <c r="W3" s="1">
        <f>$F$26*base!X3</f>
        <v>0</v>
      </c>
      <c r="X3" s="1">
        <f>$F$26*base!Y3</f>
        <v>0</v>
      </c>
      <c r="Y3" s="1">
        <f>$F$26*base!Z3</f>
        <v>0</v>
      </c>
      <c r="Z3" s="1">
        <f>$F$26*base!AA3</f>
        <v>0</v>
      </c>
      <c r="AA3" s="1">
        <f>$F$26*base!AB3</f>
        <v>0</v>
      </c>
      <c r="AB3" s="1">
        <f>$F$26*base!AC3</f>
        <v>0</v>
      </c>
      <c r="AC3" s="1">
        <f>$F$26*base!AD3</f>
        <v>0</v>
      </c>
      <c r="AD3" s="1"/>
      <c r="AE3" s="1">
        <f>SUM(C3:R3)</f>
        <v>0</v>
      </c>
      <c r="AF3" s="5"/>
    </row>
    <row r="4" spans="2:32" x14ac:dyDescent="0.35">
      <c r="B4" t="s">
        <v>1</v>
      </c>
      <c r="C4" s="1">
        <f>$F$27*base!D4</f>
        <v>600</v>
      </c>
      <c r="D4" s="1">
        <f>$F$27*base!E4</f>
        <v>120</v>
      </c>
      <c r="E4" s="1">
        <f>$F$27*base!F4</f>
        <v>400</v>
      </c>
      <c r="F4" s="1">
        <f>$F$27*base!G4</f>
        <v>0</v>
      </c>
      <c r="G4" s="1">
        <f>$F$27*base!H4</f>
        <v>0</v>
      </c>
      <c r="H4" s="1">
        <f>$F$27*base!I4</f>
        <v>0</v>
      </c>
      <c r="I4" s="1">
        <f>$F$27*base!J4</f>
        <v>0</v>
      </c>
      <c r="J4" s="1">
        <f>$F$27*base!K4</f>
        <v>0</v>
      </c>
      <c r="K4" s="1">
        <f>$F$27*base!L4</f>
        <v>140</v>
      </c>
      <c r="L4" s="1">
        <f>$F$27*base!M4</f>
        <v>100</v>
      </c>
      <c r="M4" s="1">
        <f>$F$27*base!N4</f>
        <v>0</v>
      </c>
      <c r="N4" s="1">
        <f>$F$27*base!O4</f>
        <v>0</v>
      </c>
      <c r="O4" s="1">
        <f>$F$27*base!P4</f>
        <v>0</v>
      </c>
      <c r="P4" s="1">
        <f>$F$27*base!Q4</f>
        <v>0</v>
      </c>
      <c r="Q4" s="1">
        <f>$F$27*base!R4</f>
        <v>0</v>
      </c>
      <c r="R4" s="1">
        <f>$F$27*base!S4</f>
        <v>0</v>
      </c>
      <c r="S4" s="1">
        <f>$F$27*base!T4</f>
        <v>0</v>
      </c>
      <c r="T4" s="1">
        <f>$F$27*base!U4</f>
        <v>0</v>
      </c>
      <c r="U4" s="1">
        <f>$F$27*base!V4</f>
        <v>0</v>
      </c>
      <c r="V4" s="1">
        <f>$F$27*base!W4</f>
        <v>0</v>
      </c>
      <c r="W4" s="1">
        <f>$F$27*base!X4</f>
        <v>0</v>
      </c>
      <c r="X4" s="1">
        <f>$F$27*base!Y4</f>
        <v>0</v>
      </c>
      <c r="Y4" s="1">
        <f>$F$27*base!Z4</f>
        <v>0</v>
      </c>
      <c r="Z4" s="1">
        <f>$F$27*base!AA4</f>
        <v>0</v>
      </c>
      <c r="AA4" s="1">
        <f>$F$27*base!AB4</f>
        <v>0</v>
      </c>
      <c r="AB4" s="1">
        <f>$F$27*base!AC4</f>
        <v>0</v>
      </c>
      <c r="AC4" s="1">
        <f>$F$27*base!AD4</f>
        <v>0</v>
      </c>
      <c r="AD4" s="1"/>
      <c r="AE4" s="1">
        <f>SUM(C4:R4)</f>
        <v>1360</v>
      </c>
      <c r="AF4" s="5"/>
    </row>
    <row r="5" spans="2:32" x14ac:dyDescent="0.35">
      <c r="B5" t="s">
        <v>2</v>
      </c>
      <c r="C5" s="1">
        <f>$F$28*base!D5</f>
        <v>600</v>
      </c>
      <c r="D5" s="1">
        <f>$F$28*base!E5</f>
        <v>120</v>
      </c>
      <c r="E5" s="1">
        <f>$F$28*base!F5</f>
        <v>300</v>
      </c>
      <c r="F5" s="1">
        <f>$F$28*base!G5</f>
        <v>0</v>
      </c>
      <c r="G5" s="1">
        <f>$F$28*base!H5</f>
        <v>0</v>
      </c>
      <c r="H5" s="1">
        <f>$F$28*base!I5</f>
        <v>150</v>
      </c>
      <c r="I5" s="1">
        <f>$F$28*base!J5</f>
        <v>0</v>
      </c>
      <c r="J5" s="1">
        <f>$F$28*base!K5</f>
        <v>0</v>
      </c>
      <c r="K5" s="1">
        <f>$F$28*base!L5</f>
        <v>0</v>
      </c>
      <c r="L5" s="1">
        <f>$F$28*base!M5</f>
        <v>0</v>
      </c>
      <c r="M5" s="1">
        <f>$F$28*base!N5</f>
        <v>130</v>
      </c>
      <c r="N5" s="1">
        <f>$F$28*base!O5</f>
        <v>0</v>
      </c>
      <c r="O5" s="1">
        <f>$F$28*base!P5</f>
        <v>0</v>
      </c>
      <c r="P5" s="1">
        <f>$F$28*base!Q5</f>
        <v>0</v>
      </c>
      <c r="Q5" s="1">
        <f>$F$28*base!R5</f>
        <v>0</v>
      </c>
      <c r="R5" s="1">
        <f>$F$28*base!S5</f>
        <v>0</v>
      </c>
      <c r="S5" s="1">
        <f>$F$28*base!T5</f>
        <v>0</v>
      </c>
      <c r="T5" s="1">
        <f>$F$28*base!U5</f>
        <v>0</v>
      </c>
      <c r="U5" s="1">
        <f>$F$28*base!V5</f>
        <v>0</v>
      </c>
      <c r="V5" s="1">
        <f>$F$28*base!W5</f>
        <v>0</v>
      </c>
      <c r="W5" s="1">
        <f>$F$28*base!X5</f>
        <v>0</v>
      </c>
      <c r="X5" s="1">
        <f>$F$28*base!Y5</f>
        <v>0</v>
      </c>
      <c r="Y5" s="1">
        <f>$F$28*base!Z5</f>
        <v>0</v>
      </c>
      <c r="Z5" s="1">
        <f>$F$28*base!AA5</f>
        <v>0</v>
      </c>
      <c r="AA5" s="1">
        <f>$F$28*base!AB5</f>
        <v>0</v>
      </c>
      <c r="AB5" s="1">
        <f>$F$28*base!AC5</f>
        <v>0</v>
      </c>
      <c r="AC5" s="1">
        <f>$F$28*base!AD5</f>
        <v>0</v>
      </c>
      <c r="AD5" s="1"/>
      <c r="AE5" s="1">
        <f>SUM(C5:R5)</f>
        <v>1300</v>
      </c>
      <c r="AF5" s="5"/>
    </row>
    <row r="6" spans="2:32" x14ac:dyDescent="0.35">
      <c r="B6" t="s">
        <v>4</v>
      </c>
      <c r="C6" s="1">
        <f>$F$29*base!D6</f>
        <v>600</v>
      </c>
      <c r="D6" s="1">
        <f>$F$29*base!E6</f>
        <v>120</v>
      </c>
      <c r="E6" s="1">
        <f>$F$29*base!F6</f>
        <v>300</v>
      </c>
      <c r="F6" s="1">
        <f>$F$29*base!G6</f>
        <v>0</v>
      </c>
      <c r="G6" s="1">
        <f>$F$29*base!H6</f>
        <v>0</v>
      </c>
      <c r="H6" s="1">
        <f>$F$29*base!I6</f>
        <v>150</v>
      </c>
      <c r="I6" s="1">
        <f>$F$29*base!J6</f>
        <v>150</v>
      </c>
      <c r="J6" s="1">
        <f>$F$29*base!K6</f>
        <v>0</v>
      </c>
      <c r="K6" s="1">
        <f>$F$29*base!L6</f>
        <v>140</v>
      </c>
      <c r="L6" s="1">
        <f>$F$29*base!M6</f>
        <v>0</v>
      </c>
      <c r="M6" s="1">
        <f>$F$29*base!N6</f>
        <v>0</v>
      </c>
      <c r="N6" s="1">
        <f>$F$29*base!O6</f>
        <v>0</v>
      </c>
      <c r="O6" s="1">
        <f>$F$29*base!P6</f>
        <v>0</v>
      </c>
      <c r="P6" s="1">
        <f>$F$29*base!Q6</f>
        <v>0</v>
      </c>
      <c r="Q6" s="1">
        <f>$F$29*base!R6</f>
        <v>0</v>
      </c>
      <c r="R6" s="1">
        <f>$F$29*base!S6</f>
        <v>0</v>
      </c>
      <c r="S6" s="1">
        <f>$F$29*base!T6</f>
        <v>0</v>
      </c>
      <c r="T6" s="1">
        <f>$F$29*base!U6</f>
        <v>0</v>
      </c>
      <c r="U6" s="1">
        <f>$F$29*base!V6</f>
        <v>0</v>
      </c>
      <c r="V6" s="1">
        <f>$F$29*base!W6</f>
        <v>0</v>
      </c>
      <c r="W6" s="1">
        <f>$F$29*base!X6</f>
        <v>0</v>
      </c>
      <c r="X6" s="1">
        <f>$F$29*base!Y6</f>
        <v>0</v>
      </c>
      <c r="Y6" s="1">
        <f>$F$29*base!Z6</f>
        <v>0</v>
      </c>
      <c r="Z6" s="1">
        <f>$F$29*base!AA6</f>
        <v>0</v>
      </c>
      <c r="AA6" s="1">
        <f>$F$29*base!AB6</f>
        <v>0</v>
      </c>
      <c r="AB6" s="1">
        <f>$F$29*base!AC6</f>
        <v>0</v>
      </c>
      <c r="AC6" s="1">
        <f>$F$29*base!AD6</f>
        <v>0</v>
      </c>
      <c r="AD6" s="1"/>
      <c r="AE6" s="1">
        <f>SUM(C6:R6)</f>
        <v>1460</v>
      </c>
      <c r="AF6" s="5"/>
    </row>
    <row r="7" spans="2:32" x14ac:dyDescent="0.35">
      <c r="B7" t="s">
        <v>5</v>
      </c>
      <c r="C7" s="1">
        <f>$F$30*base!D7</f>
        <v>0</v>
      </c>
      <c r="D7" s="1">
        <f>$F$30*base!E7</f>
        <v>0</v>
      </c>
      <c r="E7" s="1">
        <f>$F$30*base!F7</f>
        <v>0</v>
      </c>
      <c r="F7" s="1">
        <f>$F$30*base!G7</f>
        <v>0</v>
      </c>
      <c r="G7" s="1">
        <f>$F$30*base!H7</f>
        <v>0</v>
      </c>
      <c r="H7" s="1">
        <f>$F$30*base!I7</f>
        <v>0</v>
      </c>
      <c r="I7" s="1">
        <f>$F$30*base!J7</f>
        <v>0</v>
      </c>
      <c r="J7" s="1">
        <f>$F$30*base!K7</f>
        <v>0</v>
      </c>
      <c r="K7" s="1">
        <f>$F$30*base!L7</f>
        <v>0</v>
      </c>
      <c r="L7" s="1">
        <f>$F$30*base!M7</f>
        <v>0</v>
      </c>
      <c r="M7" s="1">
        <f>$F$30*base!N7</f>
        <v>0</v>
      </c>
      <c r="N7" s="1">
        <f>$F$30*base!O7</f>
        <v>0</v>
      </c>
      <c r="O7" s="1">
        <f>$F$30*base!P7</f>
        <v>0</v>
      </c>
      <c r="P7" s="1">
        <f>$F$30*base!Q7</f>
        <v>0</v>
      </c>
      <c r="Q7" s="1">
        <f>$F$30*base!R7</f>
        <v>0</v>
      </c>
      <c r="R7" s="1">
        <f>$F$30*base!S7</f>
        <v>0</v>
      </c>
      <c r="S7" s="1">
        <f>$F$30*base!T7</f>
        <v>0</v>
      </c>
      <c r="T7" s="1">
        <f>$F$30*base!U7</f>
        <v>0</v>
      </c>
      <c r="U7" s="1">
        <f>$F$30*base!V7</f>
        <v>0</v>
      </c>
      <c r="V7" s="1">
        <f>$F$30*base!W7</f>
        <v>0</v>
      </c>
      <c r="W7" s="1">
        <f>$F$30*base!X7</f>
        <v>0</v>
      </c>
      <c r="X7" s="1">
        <f>$F$30*base!Y7</f>
        <v>0</v>
      </c>
      <c r="Y7" s="1">
        <f>$F$30*base!Z7</f>
        <v>0</v>
      </c>
      <c r="Z7" s="1">
        <f>$F$30*base!AA7</f>
        <v>0</v>
      </c>
      <c r="AA7" s="1">
        <f>$F$30*base!AB7</f>
        <v>0</v>
      </c>
      <c r="AB7" s="1">
        <f>$F$30*base!AC7</f>
        <v>0</v>
      </c>
      <c r="AC7" s="1">
        <f>$F$30*base!AD7</f>
        <v>0</v>
      </c>
      <c r="AD7" s="1"/>
      <c r="AE7" s="1">
        <f t="shared" ref="AE7:AE18" si="0">SUM(C7:R7)</f>
        <v>0</v>
      </c>
      <c r="AF7" s="5"/>
    </row>
    <row r="8" spans="2:32" x14ac:dyDescent="0.35">
      <c r="B8" t="s">
        <v>3</v>
      </c>
      <c r="C8" s="1">
        <f>$F$31*base!D8</f>
        <v>0</v>
      </c>
      <c r="D8" s="1">
        <f>$F$31*base!E8</f>
        <v>0</v>
      </c>
      <c r="E8" s="1">
        <f>$F$31*base!F8</f>
        <v>0</v>
      </c>
      <c r="F8" s="1">
        <f>$F$31*base!G8</f>
        <v>0</v>
      </c>
      <c r="G8" s="1">
        <f>$F$31*base!H8</f>
        <v>0</v>
      </c>
      <c r="H8" s="1">
        <f>$F$31*base!I8</f>
        <v>0</v>
      </c>
      <c r="I8" s="1">
        <f>$F$31*base!J8</f>
        <v>0</v>
      </c>
      <c r="J8" s="1">
        <f>$F$31*base!K8</f>
        <v>0</v>
      </c>
      <c r="K8" s="1">
        <f>$F$31*base!L8</f>
        <v>0</v>
      </c>
      <c r="L8" s="1">
        <f>$F$31*base!M8</f>
        <v>0</v>
      </c>
      <c r="M8" s="1">
        <f>$F$31*base!N8</f>
        <v>0</v>
      </c>
      <c r="N8" s="1">
        <f>$F$31*base!O8</f>
        <v>0</v>
      </c>
      <c r="O8" s="1">
        <f>$F$31*base!P8</f>
        <v>0</v>
      </c>
      <c r="P8" s="1">
        <f>$F$31*base!Q8</f>
        <v>0</v>
      </c>
      <c r="Q8" s="1">
        <f>$F$31*base!R8</f>
        <v>0</v>
      </c>
      <c r="R8" s="1">
        <f>$F$31*base!S8</f>
        <v>0</v>
      </c>
      <c r="S8" s="1">
        <f>$F$31*base!T8</f>
        <v>0</v>
      </c>
      <c r="T8" s="1">
        <f>$F$31*base!U8</f>
        <v>0</v>
      </c>
      <c r="U8" s="1">
        <f>$F$31*base!V8</f>
        <v>0</v>
      </c>
      <c r="V8" s="1">
        <f>$F$31*base!W8</f>
        <v>0</v>
      </c>
      <c r="W8" s="1">
        <f>$F$31*base!X8</f>
        <v>0</v>
      </c>
      <c r="X8" s="1">
        <f>$F$31*base!Y8</f>
        <v>0</v>
      </c>
      <c r="Y8" s="1">
        <f>$F$31*base!Z8</f>
        <v>0</v>
      </c>
      <c r="Z8" s="1">
        <f>$F$31*base!AA8</f>
        <v>0</v>
      </c>
      <c r="AA8" s="1">
        <f>$F$31*base!AB8</f>
        <v>0</v>
      </c>
      <c r="AB8" s="1">
        <f>$F$31*base!AC8</f>
        <v>0</v>
      </c>
      <c r="AC8" s="1">
        <f>$F$31*base!AD8</f>
        <v>0</v>
      </c>
      <c r="AD8" s="1"/>
      <c r="AE8" s="1">
        <f t="shared" si="0"/>
        <v>0</v>
      </c>
      <c r="AF8" s="5"/>
    </row>
    <row r="9" spans="2:32" x14ac:dyDescent="0.35">
      <c r="B9" t="s">
        <v>38</v>
      </c>
      <c r="C9" s="1">
        <f>$F$32*base!D9</f>
        <v>900</v>
      </c>
      <c r="D9" s="1">
        <f>$F$32*base!E9</f>
        <v>0</v>
      </c>
      <c r="E9" s="1">
        <f>$F$32*base!F9</f>
        <v>0</v>
      </c>
      <c r="F9" s="1">
        <f>$F$32*base!G9</f>
        <v>0</v>
      </c>
      <c r="G9" s="1">
        <f>$F$32*base!H9</f>
        <v>0</v>
      </c>
      <c r="H9" s="1">
        <f>$F$32*base!I9</f>
        <v>0</v>
      </c>
      <c r="I9" s="1">
        <f>$F$32*base!J9</f>
        <v>0</v>
      </c>
      <c r="J9" s="1">
        <f>$F$32*base!K9</f>
        <v>0</v>
      </c>
      <c r="K9" s="1">
        <f>$F$32*base!L9</f>
        <v>0</v>
      </c>
      <c r="L9" s="1">
        <f>$F$32*base!M9</f>
        <v>0</v>
      </c>
      <c r="M9" s="1">
        <f>$F$32*base!N9</f>
        <v>0</v>
      </c>
      <c r="N9" s="1">
        <f>$F$32*base!O9</f>
        <v>0</v>
      </c>
      <c r="O9" s="1">
        <f>$F$32*base!P9</f>
        <v>0</v>
      </c>
      <c r="P9" s="1">
        <f>$F$32*base!Q9</f>
        <v>0</v>
      </c>
      <c r="Q9" s="1">
        <f>$F$32*base!R9</f>
        <v>450</v>
      </c>
      <c r="R9" s="1">
        <f>$F$32*base!S9</f>
        <v>300</v>
      </c>
      <c r="S9" s="1">
        <f>$F$32*base!T9</f>
        <v>0</v>
      </c>
      <c r="T9" s="1">
        <f>$F$32*base!U9</f>
        <v>0</v>
      </c>
      <c r="U9" s="1">
        <f>$F$32*base!V9</f>
        <v>0</v>
      </c>
      <c r="V9" s="1">
        <f>$F$32*base!W9</f>
        <v>0</v>
      </c>
      <c r="W9" s="1">
        <f>$F$32*base!X9</f>
        <v>0</v>
      </c>
      <c r="X9" s="1">
        <f>$F$32*base!Y9</f>
        <v>0</v>
      </c>
      <c r="Y9" s="1">
        <f>$F$32*base!Z9</f>
        <v>0</v>
      </c>
      <c r="Z9" s="1">
        <f>$F$32*base!AA9</f>
        <v>0</v>
      </c>
      <c r="AA9" s="1">
        <f>$F$32*base!AB9</f>
        <v>0</v>
      </c>
      <c r="AB9" s="1">
        <f>$F$32*base!AC9</f>
        <v>0</v>
      </c>
      <c r="AC9" s="1">
        <f>$F$32*base!AD9</f>
        <v>0</v>
      </c>
      <c r="AD9" s="1"/>
      <c r="AE9" s="1">
        <f t="shared" si="0"/>
        <v>1650</v>
      </c>
      <c r="AF9" s="5"/>
    </row>
    <row r="10" spans="2:32" x14ac:dyDescent="0.35">
      <c r="B10" t="s">
        <v>58</v>
      </c>
      <c r="C10" s="1">
        <f>$F$33*base!D10</f>
        <v>0</v>
      </c>
      <c r="D10" s="1">
        <f>$F$33*base!E10</f>
        <v>0</v>
      </c>
      <c r="E10" s="1">
        <f>$F$33*base!F10</f>
        <v>0</v>
      </c>
      <c r="F10" s="1">
        <f>$F$33*base!G10</f>
        <v>0</v>
      </c>
      <c r="G10" s="1">
        <f>$F$33*base!H10</f>
        <v>0</v>
      </c>
      <c r="H10" s="1">
        <f>$F$33*base!I10</f>
        <v>0</v>
      </c>
      <c r="I10" s="1">
        <f>$F$33*base!J10</f>
        <v>0</v>
      </c>
      <c r="J10" s="1">
        <f>$F$33*base!K10</f>
        <v>0</v>
      </c>
      <c r="K10" s="1">
        <f>$F$33*base!L10</f>
        <v>0</v>
      </c>
      <c r="L10" s="1">
        <f>$F$33*base!M10</f>
        <v>0</v>
      </c>
      <c r="M10" s="1">
        <f>$F$33*base!N10</f>
        <v>0</v>
      </c>
      <c r="N10" s="1">
        <f>$F$33*base!O10</f>
        <v>0</v>
      </c>
      <c r="O10" s="1">
        <f>$F$33*base!P10</f>
        <v>0</v>
      </c>
      <c r="P10" s="1">
        <f>$F$33*base!Q10</f>
        <v>0</v>
      </c>
      <c r="Q10" s="1">
        <f>$F$33*base!R10</f>
        <v>0</v>
      </c>
      <c r="R10" s="1">
        <f>$F$33*base!S10</f>
        <v>0</v>
      </c>
      <c r="S10" s="1">
        <f>$F$33*base!T10</f>
        <v>0</v>
      </c>
      <c r="T10" s="1">
        <f>$F$33*base!U10</f>
        <v>0</v>
      </c>
      <c r="U10" s="1">
        <f>$F$33*base!V10</f>
        <v>0</v>
      </c>
      <c r="V10" s="1">
        <f>$F$33*base!W10</f>
        <v>0</v>
      </c>
      <c r="W10" s="1">
        <f>$F$33*base!X10</f>
        <v>0</v>
      </c>
      <c r="X10" s="1">
        <f>$F$33*base!Y10</f>
        <v>0</v>
      </c>
      <c r="Y10" s="1">
        <f>$F$33*base!Z10</f>
        <v>0</v>
      </c>
      <c r="Z10" s="1">
        <f>$F$33*base!AA10</f>
        <v>0</v>
      </c>
      <c r="AA10" s="1">
        <f>$F$33*base!AB10</f>
        <v>0</v>
      </c>
      <c r="AB10" s="1">
        <f>$F$33*base!AC10</f>
        <v>0</v>
      </c>
      <c r="AC10" s="1">
        <f>$F$33*base!AD10</f>
        <v>0</v>
      </c>
      <c r="AD10" s="1"/>
      <c r="AE10" s="1">
        <f t="shared" si="0"/>
        <v>0</v>
      </c>
      <c r="AF10" s="5"/>
    </row>
    <row r="11" spans="2:32" x14ac:dyDescent="0.35">
      <c r="B11" t="s">
        <v>60</v>
      </c>
      <c r="C11" s="1">
        <f>$F$34*base!D11</f>
        <v>600</v>
      </c>
      <c r="D11" s="1">
        <f>$F$34*base!E11</f>
        <v>120</v>
      </c>
      <c r="E11" s="1">
        <f>$F$34*base!F11</f>
        <v>300</v>
      </c>
      <c r="F11" s="1">
        <f>$F$34*base!G11</f>
        <v>0</v>
      </c>
      <c r="G11" s="1">
        <f>$F$34*base!H11</f>
        <v>0</v>
      </c>
      <c r="H11" s="1">
        <f>$F$34*base!I11</f>
        <v>0</v>
      </c>
      <c r="I11" s="1">
        <f>$F$34*base!J11</f>
        <v>0</v>
      </c>
      <c r="J11" s="1">
        <f>$F$34*base!K11</f>
        <v>0</v>
      </c>
      <c r="K11" s="1">
        <f>$F$34*base!L11</f>
        <v>0</v>
      </c>
      <c r="L11" s="1">
        <f>$F$34*base!M11</f>
        <v>0</v>
      </c>
      <c r="M11" s="1">
        <f>$F$34*base!N11</f>
        <v>0</v>
      </c>
      <c r="N11" s="1">
        <f>$F$34*base!O11</f>
        <v>0</v>
      </c>
      <c r="O11" s="1">
        <f>$F$34*base!P11</f>
        <v>0</v>
      </c>
      <c r="P11" s="1">
        <f>$F$34*base!Q11</f>
        <v>0</v>
      </c>
      <c r="Q11" s="1">
        <f>$F$34*base!R11</f>
        <v>0</v>
      </c>
      <c r="R11" s="1">
        <f>$F$34*base!S11</f>
        <v>0</v>
      </c>
      <c r="S11" s="1">
        <f>$F$34*base!T11</f>
        <v>0</v>
      </c>
      <c r="T11" s="1">
        <f>$F$34*base!U11</f>
        <v>300</v>
      </c>
      <c r="U11" s="1">
        <f>$F$34*base!V11</f>
        <v>0</v>
      </c>
      <c r="V11" s="1">
        <f>$F$34*base!W11</f>
        <v>0</v>
      </c>
      <c r="W11" s="1">
        <f>$F$34*base!X11</f>
        <v>0</v>
      </c>
      <c r="X11" s="1">
        <f>$F$34*base!Y11</f>
        <v>0</v>
      </c>
      <c r="Y11" s="1">
        <f>$F$34*base!Z11</f>
        <v>0</v>
      </c>
      <c r="Z11" s="1">
        <f>$F$34*base!AA11</f>
        <v>0</v>
      </c>
      <c r="AA11" s="1">
        <f>$F$34*base!AB11</f>
        <v>0</v>
      </c>
      <c r="AB11" s="1">
        <f>$F$34*base!AC11</f>
        <v>0</v>
      </c>
      <c r="AC11" s="1">
        <f>$F$34*base!AD11</f>
        <v>0</v>
      </c>
      <c r="AD11" s="1"/>
      <c r="AE11" s="1">
        <f>SUM(C11:V11)</f>
        <v>1320</v>
      </c>
      <c r="AF11" s="5"/>
    </row>
    <row r="12" spans="2:32" x14ac:dyDescent="0.35">
      <c r="B12" t="s">
        <v>62</v>
      </c>
      <c r="C12" s="1">
        <f>$F$35*base!D12</f>
        <v>0</v>
      </c>
      <c r="D12" s="1">
        <f>$F$35*base!E12</f>
        <v>0</v>
      </c>
      <c r="E12" s="1">
        <f>$F$35*base!F12</f>
        <v>0</v>
      </c>
      <c r="F12" s="1">
        <f>$F$35*base!G12</f>
        <v>0</v>
      </c>
      <c r="G12" s="1">
        <f>$F$35*base!H12</f>
        <v>0</v>
      </c>
      <c r="H12" s="1">
        <f>$F$35*base!I12</f>
        <v>0</v>
      </c>
      <c r="I12" s="1">
        <f>$F$35*base!J12</f>
        <v>0</v>
      </c>
      <c r="J12" s="1">
        <f>$F$35*base!K12</f>
        <v>0</v>
      </c>
      <c r="K12" s="1">
        <f>$F$35*base!L12</f>
        <v>0</v>
      </c>
      <c r="L12" s="1">
        <f>$F$35*base!M12</f>
        <v>0</v>
      </c>
      <c r="M12" s="1">
        <f>$F$35*base!N12</f>
        <v>0</v>
      </c>
      <c r="N12" s="1">
        <f>$F$35*base!O12</f>
        <v>0</v>
      </c>
      <c r="O12" s="1">
        <f>$F$35*base!P12</f>
        <v>0</v>
      </c>
      <c r="P12" s="1">
        <f>$F$35*base!Q12</f>
        <v>0</v>
      </c>
      <c r="Q12" s="1">
        <f>$F$35*base!R12</f>
        <v>0</v>
      </c>
      <c r="R12" s="1">
        <f>$F$35*base!S12</f>
        <v>0</v>
      </c>
      <c r="S12" s="1">
        <f>$F$35*base!T12</f>
        <v>0</v>
      </c>
      <c r="T12" s="1">
        <f>$F$35*base!U12</f>
        <v>0</v>
      </c>
      <c r="U12" s="1">
        <f>$F$35*base!V12</f>
        <v>0</v>
      </c>
      <c r="V12" s="1">
        <f>$F$35*base!W12</f>
        <v>0</v>
      </c>
      <c r="W12" s="1">
        <f>$F$35*base!X12</f>
        <v>0</v>
      </c>
      <c r="X12" s="1">
        <f>$F$35*base!Y12</f>
        <v>0</v>
      </c>
      <c r="Y12" s="1">
        <f>$F$35*base!Z12</f>
        <v>0</v>
      </c>
      <c r="Z12" s="1">
        <f>$F$35*base!AA12</f>
        <v>0</v>
      </c>
      <c r="AA12" s="1">
        <f>$F$35*base!AB12</f>
        <v>0</v>
      </c>
      <c r="AB12" s="1">
        <f>$F$35*base!AC12</f>
        <v>0</v>
      </c>
      <c r="AC12" s="1">
        <f>$F$35*base!AD12</f>
        <v>0</v>
      </c>
      <c r="AD12" s="1"/>
      <c r="AE12" s="1">
        <f t="shared" si="0"/>
        <v>0</v>
      </c>
      <c r="AF12" s="5"/>
    </row>
    <row r="13" spans="2:32" x14ac:dyDescent="0.35">
      <c r="B13" t="s">
        <v>73</v>
      </c>
      <c r="C13" s="1">
        <f>$F$36*base!D13</f>
        <v>0</v>
      </c>
      <c r="D13" s="1">
        <f>$F$36*base!E13</f>
        <v>0</v>
      </c>
      <c r="E13" s="1">
        <f>$F$36*base!F13</f>
        <v>0</v>
      </c>
      <c r="F13" s="1">
        <f>$F$36*base!G13</f>
        <v>0</v>
      </c>
      <c r="G13" s="1">
        <f>$F$36*base!H13</f>
        <v>0</v>
      </c>
      <c r="H13" s="1">
        <f>$F$36*base!I13</f>
        <v>0</v>
      </c>
      <c r="I13" s="1">
        <f>$F$36*base!J13</f>
        <v>0</v>
      </c>
      <c r="J13" s="1">
        <f>$F$36*base!K13</f>
        <v>0</v>
      </c>
      <c r="K13" s="1">
        <f>$F$36*base!L13</f>
        <v>0</v>
      </c>
      <c r="L13" s="1">
        <f>$F$36*base!M13</f>
        <v>0</v>
      </c>
      <c r="M13" s="1">
        <f>$F$36*base!N13</f>
        <v>0</v>
      </c>
      <c r="N13" s="1">
        <f>$F$36*base!O13</f>
        <v>0</v>
      </c>
      <c r="O13" s="1">
        <f>$F$36*base!P13</f>
        <v>0</v>
      </c>
      <c r="P13" s="1">
        <f>$F$36*base!Q13</f>
        <v>0</v>
      </c>
      <c r="Q13" s="1">
        <f>$F$36*base!R13</f>
        <v>0</v>
      </c>
      <c r="R13" s="1">
        <f>$F$36*base!S13</f>
        <v>0</v>
      </c>
      <c r="S13" s="1">
        <f>$F$36*base!T13</f>
        <v>0</v>
      </c>
      <c r="T13" s="1">
        <f>$F$36*base!U13</f>
        <v>0</v>
      </c>
      <c r="U13" s="1">
        <f>$F$36*base!V13</f>
        <v>0</v>
      </c>
      <c r="V13" s="1">
        <f>$F$36*base!W13</f>
        <v>0</v>
      </c>
      <c r="W13" s="1">
        <f>$F$36*base!X13</f>
        <v>0</v>
      </c>
      <c r="X13" s="1">
        <f>$F$36*base!Y13</f>
        <v>0</v>
      </c>
      <c r="Y13" s="1">
        <f>$F$36*base!Z13</f>
        <v>0</v>
      </c>
      <c r="Z13" s="1">
        <f>$F$36*base!AA13</f>
        <v>0</v>
      </c>
      <c r="AA13" s="1">
        <f>$F$36*base!AB13</f>
        <v>0</v>
      </c>
      <c r="AB13" s="1">
        <f>$F$36*base!AC13</f>
        <v>0</v>
      </c>
      <c r="AC13" s="1">
        <f>$F$36*base!AD13</f>
        <v>0</v>
      </c>
      <c r="AD13" s="1"/>
      <c r="AE13" s="1">
        <f>SUM(C13:V13)</f>
        <v>0</v>
      </c>
      <c r="AF13" s="5"/>
    </row>
    <row r="14" spans="2:32" x14ac:dyDescent="0.35">
      <c r="B14" t="s">
        <v>75</v>
      </c>
      <c r="C14" s="1">
        <f>$F$37*base!D14</f>
        <v>0</v>
      </c>
      <c r="D14" s="1">
        <f>$F$37*base!E14</f>
        <v>0</v>
      </c>
      <c r="E14" s="1">
        <f>$F$37*base!F14</f>
        <v>0</v>
      </c>
      <c r="F14" s="1">
        <f>$F$37*base!G14</f>
        <v>0</v>
      </c>
      <c r="G14" s="1">
        <f>$F$37*base!H14</f>
        <v>0</v>
      </c>
      <c r="H14" s="1">
        <f>$F$37*base!I14</f>
        <v>0</v>
      </c>
      <c r="I14" s="1">
        <f>$F$37*base!J14</f>
        <v>0</v>
      </c>
      <c r="J14" s="1">
        <f>$F$37*base!K14</f>
        <v>0</v>
      </c>
      <c r="K14" s="1">
        <f>$F$37*base!L14</f>
        <v>0</v>
      </c>
      <c r="L14" s="1">
        <f>$F$37*base!M14</f>
        <v>0</v>
      </c>
      <c r="M14" s="1">
        <f>$F$37*base!N14</f>
        <v>0</v>
      </c>
      <c r="N14" s="1">
        <f>$F$37*base!O14</f>
        <v>0</v>
      </c>
      <c r="O14" s="1">
        <f>$F$37*base!P14</f>
        <v>0</v>
      </c>
      <c r="P14" s="1">
        <f>$F$37*base!Q14</f>
        <v>0</v>
      </c>
      <c r="Q14" s="1">
        <f>$F$37*base!R14</f>
        <v>0</v>
      </c>
      <c r="R14" s="1">
        <f>$F$37*base!S14</f>
        <v>0</v>
      </c>
      <c r="S14" s="1">
        <f>$F$37*base!T14</f>
        <v>0</v>
      </c>
      <c r="T14" s="1">
        <f>$F$37*base!U14</f>
        <v>0</v>
      </c>
      <c r="U14" s="1">
        <f>$F$37*base!V14</f>
        <v>0</v>
      </c>
      <c r="V14" s="1">
        <f>$F$37*base!W14</f>
        <v>0</v>
      </c>
      <c r="W14" s="1">
        <f>$F$37*base!X14</f>
        <v>0</v>
      </c>
      <c r="X14" s="1">
        <f>$F$37*base!Y14</f>
        <v>0</v>
      </c>
      <c r="Y14" s="1">
        <f>$F$37*base!Z14</f>
        <v>0</v>
      </c>
      <c r="Z14" s="1">
        <f>$F$37*base!AA14</f>
        <v>0</v>
      </c>
      <c r="AA14" s="1">
        <f>$F$37*base!AB14</f>
        <v>0</v>
      </c>
      <c r="AB14" s="1">
        <f>$F$37*base!AC14</f>
        <v>0</v>
      </c>
      <c r="AC14" s="1">
        <f>$F$37*base!AD14</f>
        <v>0</v>
      </c>
      <c r="AE14" s="1">
        <f t="shared" si="0"/>
        <v>0</v>
      </c>
      <c r="AF14" s="5"/>
    </row>
    <row r="15" spans="2:32" x14ac:dyDescent="0.35">
      <c r="B15" t="s">
        <v>79</v>
      </c>
      <c r="C15" s="1">
        <f>$F$38*base!D15</f>
        <v>600</v>
      </c>
      <c r="D15" s="1">
        <f>$F$38*base!E15</f>
        <v>120</v>
      </c>
      <c r="E15" s="1">
        <f>$F$38*base!F15</f>
        <v>300</v>
      </c>
      <c r="F15" s="1">
        <f>$F$38*base!G15</f>
        <v>0</v>
      </c>
      <c r="G15" s="1">
        <f>$F$38*base!H15</f>
        <v>0</v>
      </c>
      <c r="H15" s="1">
        <f>$F$38*base!I15</f>
        <v>0</v>
      </c>
      <c r="I15" s="1">
        <f>$F$38*base!J15</f>
        <v>0</v>
      </c>
      <c r="J15" s="1">
        <f>$F$38*base!K15</f>
        <v>0</v>
      </c>
      <c r="K15" s="1">
        <f>$F$38*base!L15</f>
        <v>0</v>
      </c>
      <c r="L15" s="1">
        <f>$F$38*base!M15</f>
        <v>0</v>
      </c>
      <c r="M15" s="1">
        <f>$F$38*base!N15</f>
        <v>0</v>
      </c>
      <c r="N15" s="1">
        <f>$F$38*base!O15</f>
        <v>0</v>
      </c>
      <c r="O15" s="1">
        <f>$F$38*base!P15</f>
        <v>0</v>
      </c>
      <c r="P15" s="1">
        <f>$F$38*base!Q15</f>
        <v>0</v>
      </c>
      <c r="Q15" s="1">
        <f>$F$38*base!R15</f>
        <v>0</v>
      </c>
      <c r="R15" s="1">
        <f>$F$38*base!S15</f>
        <v>0</v>
      </c>
      <c r="S15" s="1">
        <f>$F$38*base!T15</f>
        <v>0</v>
      </c>
      <c r="T15" s="1">
        <f>$F$38*base!U15</f>
        <v>0</v>
      </c>
      <c r="U15" s="1">
        <f>$F$38*base!V15</f>
        <v>0</v>
      </c>
      <c r="V15" s="1">
        <f>$F$38*base!W15</f>
        <v>0</v>
      </c>
      <c r="W15" s="1">
        <f>$F$38*base!X15</f>
        <v>420</v>
      </c>
      <c r="X15" s="1">
        <f>$F$38*base!Y15</f>
        <v>30</v>
      </c>
      <c r="Y15" s="1">
        <f>$F$38*base!Z15</f>
        <v>0</v>
      </c>
      <c r="Z15" s="1">
        <f>$F$38*base!AA15</f>
        <v>200</v>
      </c>
      <c r="AA15" s="1">
        <f>$F$38*base!AB15</f>
        <v>0</v>
      </c>
      <c r="AB15" s="1">
        <f>$F$38*base!AC15</f>
        <v>0</v>
      </c>
      <c r="AC15" s="1">
        <f>$F$38*base!AD15</f>
        <v>0</v>
      </c>
      <c r="AE15" s="1">
        <f t="shared" si="0"/>
        <v>1020</v>
      </c>
      <c r="AF15" s="5"/>
    </row>
    <row r="16" spans="2:32" x14ac:dyDescent="0.35">
      <c r="B16" t="s">
        <v>80</v>
      </c>
      <c r="C16" s="1">
        <f>$F$39*base!D16</f>
        <v>0</v>
      </c>
      <c r="D16" s="1">
        <f>$F$39*base!E16</f>
        <v>0</v>
      </c>
      <c r="E16" s="1">
        <f>$F$39*base!F16</f>
        <v>0</v>
      </c>
      <c r="F16" s="1">
        <f>$F$39*base!G16</f>
        <v>0</v>
      </c>
      <c r="G16" s="1">
        <f>$F$39*base!H16</f>
        <v>0</v>
      </c>
      <c r="H16" s="1">
        <f>$F$39*base!I16</f>
        <v>0</v>
      </c>
      <c r="I16" s="1">
        <f>$F$39*base!J16</f>
        <v>0</v>
      </c>
      <c r="J16" s="1">
        <f>$F$39*base!K16</f>
        <v>0</v>
      </c>
      <c r="K16" s="1">
        <f>$F$39*base!L16</f>
        <v>0</v>
      </c>
      <c r="L16" s="1">
        <f>$F$39*base!M16</f>
        <v>0</v>
      </c>
      <c r="M16" s="1">
        <f>$F$39*base!N16</f>
        <v>0</v>
      </c>
      <c r="N16" s="1">
        <f>$F$39*base!O16</f>
        <v>0</v>
      </c>
      <c r="O16" s="1">
        <f>$F$39*base!P16</f>
        <v>0</v>
      </c>
      <c r="P16" s="1">
        <f>$F$39*base!Q16</f>
        <v>0</v>
      </c>
      <c r="Q16" s="1">
        <f>$F$39*base!R16</f>
        <v>0</v>
      </c>
      <c r="R16" s="1">
        <f>$F$39*base!S16</f>
        <v>0</v>
      </c>
      <c r="S16" s="1">
        <f>$F$39*base!T16</f>
        <v>0</v>
      </c>
      <c r="T16" s="1">
        <f>$F$39*base!U16</f>
        <v>0</v>
      </c>
      <c r="U16" s="1">
        <f>$F$39*base!V16</f>
        <v>0</v>
      </c>
      <c r="V16" s="1">
        <f>$F$39*base!W16</f>
        <v>0</v>
      </c>
      <c r="W16" s="1">
        <f>$F$39*base!X16</f>
        <v>0</v>
      </c>
      <c r="X16" s="1">
        <f>$F$39*base!Y16</f>
        <v>0</v>
      </c>
      <c r="Y16" s="1">
        <f>$F$39*base!Z16</f>
        <v>0</v>
      </c>
      <c r="Z16" s="1">
        <f>$F$39*base!AA16</f>
        <v>0</v>
      </c>
      <c r="AA16" s="1">
        <f>$F$39*base!AB16</f>
        <v>0</v>
      </c>
      <c r="AB16" s="1">
        <f>$F$39*base!AC16</f>
        <v>0</v>
      </c>
      <c r="AC16" s="1">
        <f>$F$39*base!AD16</f>
        <v>0</v>
      </c>
      <c r="AE16" s="1">
        <f t="shared" si="0"/>
        <v>0</v>
      </c>
      <c r="AF16" s="5"/>
    </row>
    <row r="17" spans="2:32" x14ac:dyDescent="0.35">
      <c r="B17" t="s">
        <v>82</v>
      </c>
      <c r="C17" s="1">
        <f>$F$40*base!D17</f>
        <v>0</v>
      </c>
      <c r="D17" s="1">
        <f>$F$40*base!E17</f>
        <v>0</v>
      </c>
      <c r="E17" s="1">
        <f>$F$40*base!F17</f>
        <v>0</v>
      </c>
      <c r="F17" s="1">
        <f>$F$40*base!G17</f>
        <v>0</v>
      </c>
      <c r="G17" s="1">
        <f>$F$40*base!H17</f>
        <v>0</v>
      </c>
      <c r="H17" s="1">
        <f>$F$40*base!I17</f>
        <v>0</v>
      </c>
      <c r="I17" s="1">
        <f>$F$40*base!J17</f>
        <v>0</v>
      </c>
      <c r="J17" s="1">
        <f>$F$40*base!K17</f>
        <v>0</v>
      </c>
      <c r="K17" s="1">
        <f>$F$40*base!L17</f>
        <v>0</v>
      </c>
      <c r="L17" s="1">
        <f>$F$40*base!M17</f>
        <v>0</v>
      </c>
      <c r="M17" s="1">
        <f>$F$40*base!N17</f>
        <v>0</v>
      </c>
      <c r="N17" s="1">
        <f>$F$40*base!O17</f>
        <v>0</v>
      </c>
      <c r="O17" s="1">
        <f>$F$40*base!P17</f>
        <v>0</v>
      </c>
      <c r="P17" s="1">
        <f>$F$40*base!Q17</f>
        <v>0</v>
      </c>
      <c r="Q17" s="1">
        <f>$F$40*base!R17</f>
        <v>0</v>
      </c>
      <c r="R17" s="1">
        <f>$F$40*base!S17</f>
        <v>0</v>
      </c>
      <c r="S17" s="1">
        <f>$F$40*base!T17</f>
        <v>0</v>
      </c>
      <c r="T17" s="1">
        <f>$F$40*base!U17</f>
        <v>0</v>
      </c>
      <c r="U17" s="1">
        <f>$F$40*base!V17</f>
        <v>0</v>
      </c>
      <c r="V17" s="1">
        <f>$F$40*base!W17</f>
        <v>0</v>
      </c>
      <c r="W17" s="1">
        <f>$F$40*base!X17</f>
        <v>0</v>
      </c>
      <c r="X17" s="1">
        <f>$F$40*base!Y17</f>
        <v>0</v>
      </c>
      <c r="Y17" s="1">
        <f>$F$40*base!Z17</f>
        <v>0</v>
      </c>
      <c r="Z17" s="1">
        <f>$F$40*base!AA17</f>
        <v>0</v>
      </c>
      <c r="AA17" s="1">
        <f>$F$40*base!AB17</f>
        <v>0</v>
      </c>
      <c r="AB17" s="1">
        <f>$F$40*base!AC17</f>
        <v>0</v>
      </c>
      <c r="AC17" s="1">
        <f>$F$40*base!AD17</f>
        <v>0</v>
      </c>
      <c r="AE17" s="1">
        <f t="shared" si="0"/>
        <v>0</v>
      </c>
      <c r="AF17" s="5"/>
    </row>
    <row r="18" spans="2:32" x14ac:dyDescent="0.35">
      <c r="B18" t="s">
        <v>84</v>
      </c>
      <c r="C18" s="1">
        <f>$F$41*base!D18</f>
        <v>0</v>
      </c>
      <c r="D18" s="1">
        <f>$F$41*base!E18</f>
        <v>0</v>
      </c>
      <c r="E18" s="1">
        <f>$F$41*base!F18</f>
        <v>0</v>
      </c>
      <c r="F18" s="1">
        <f>$F$41*base!G18</f>
        <v>0</v>
      </c>
      <c r="G18" s="1">
        <f>$F$41*base!H18</f>
        <v>0</v>
      </c>
      <c r="H18" s="1">
        <f>$F$41*base!I18</f>
        <v>0</v>
      </c>
      <c r="I18" s="1">
        <f>$F$41*base!J18</f>
        <v>0</v>
      </c>
      <c r="J18" s="1">
        <f>$F$41*base!K18</f>
        <v>0</v>
      </c>
      <c r="K18" s="1">
        <f>$F$41*base!L18</f>
        <v>0</v>
      </c>
      <c r="L18" s="1">
        <f>$F$41*base!M18</f>
        <v>0</v>
      </c>
      <c r="M18" s="1">
        <f>$F$41*base!N18</f>
        <v>0</v>
      </c>
      <c r="N18" s="1">
        <f>$F$41*base!O18</f>
        <v>0</v>
      </c>
      <c r="O18" s="1">
        <f>$F$41*base!P18</f>
        <v>0</v>
      </c>
      <c r="P18" s="1">
        <f>$F$41*base!Q18</f>
        <v>0</v>
      </c>
      <c r="Q18" s="1">
        <f>$F$41*base!R18</f>
        <v>0</v>
      </c>
      <c r="R18" s="1">
        <f>$F$41*base!S18</f>
        <v>0</v>
      </c>
      <c r="S18" s="1">
        <f>$F$41*base!T18</f>
        <v>0</v>
      </c>
      <c r="T18" s="1">
        <f>$F$41*base!U18</f>
        <v>0</v>
      </c>
      <c r="U18" s="1">
        <f>$F$41*base!V18</f>
        <v>0</v>
      </c>
      <c r="V18" s="1">
        <f>$F$41*base!W18</f>
        <v>0</v>
      </c>
      <c r="W18" s="1">
        <f>$F$41*base!X18</f>
        <v>0</v>
      </c>
      <c r="X18" s="1">
        <f>$F$41*base!Y18</f>
        <v>0</v>
      </c>
      <c r="Y18" s="1">
        <f>$F$41*base!Z18</f>
        <v>0</v>
      </c>
      <c r="Z18" s="1">
        <f>$F$41*base!AA18</f>
        <v>0</v>
      </c>
      <c r="AA18" s="1">
        <f>$F$41*base!AB18</f>
        <v>0</v>
      </c>
      <c r="AB18" s="1">
        <f>$F$41*base!AC18</f>
        <v>0</v>
      </c>
      <c r="AC18" s="1">
        <f>$F$41*base!AD18</f>
        <v>0</v>
      </c>
      <c r="AE18" s="1">
        <f t="shared" si="0"/>
        <v>0</v>
      </c>
      <c r="AF18" s="5"/>
    </row>
    <row r="19" spans="2:32" x14ac:dyDescent="0.35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E19" s="1"/>
      <c r="AF19" s="5"/>
    </row>
    <row r="20" spans="2:32" x14ac:dyDescent="0.35">
      <c r="C20" s="1"/>
      <c r="AE20" s="1"/>
      <c r="AF20" s="5"/>
    </row>
    <row r="21" spans="2:32" x14ac:dyDescent="0.35">
      <c r="B21" s="4" t="s">
        <v>11</v>
      </c>
      <c r="C21" s="4">
        <f>SUM(C3:C18)</f>
        <v>3900</v>
      </c>
      <c r="D21" s="4">
        <f t="shared" ref="D21:V21" si="1">SUM(D3:D18)</f>
        <v>600</v>
      </c>
      <c r="E21" s="4">
        <f t="shared" si="1"/>
        <v>1600</v>
      </c>
      <c r="F21" s="4">
        <f t="shared" si="1"/>
        <v>0</v>
      </c>
      <c r="G21" s="4">
        <f t="shared" si="1"/>
        <v>0</v>
      </c>
      <c r="H21" s="4">
        <f t="shared" si="1"/>
        <v>300</v>
      </c>
      <c r="I21" s="4">
        <f t="shared" si="1"/>
        <v>150</v>
      </c>
      <c r="J21" s="4">
        <f t="shared" si="1"/>
        <v>0</v>
      </c>
      <c r="K21" s="4">
        <f t="shared" si="1"/>
        <v>280</v>
      </c>
      <c r="L21" s="4">
        <f t="shared" si="1"/>
        <v>100</v>
      </c>
      <c r="M21" s="4">
        <f t="shared" si="1"/>
        <v>130</v>
      </c>
      <c r="N21" s="4">
        <f t="shared" si="1"/>
        <v>0</v>
      </c>
      <c r="O21" s="4">
        <f t="shared" si="1"/>
        <v>0</v>
      </c>
      <c r="P21" s="4">
        <f t="shared" si="1"/>
        <v>0</v>
      </c>
      <c r="Q21" s="4">
        <f t="shared" si="1"/>
        <v>450</v>
      </c>
      <c r="R21" s="4">
        <f t="shared" si="1"/>
        <v>300</v>
      </c>
      <c r="S21" s="4">
        <f t="shared" si="1"/>
        <v>0</v>
      </c>
      <c r="T21" s="4">
        <f t="shared" si="1"/>
        <v>300</v>
      </c>
      <c r="U21" s="4">
        <f t="shared" si="1"/>
        <v>0</v>
      </c>
      <c r="V21" s="4">
        <f t="shared" si="1"/>
        <v>0</v>
      </c>
      <c r="W21" s="4">
        <f t="shared" ref="W21:AC21" si="2">SUM(W3:W18)</f>
        <v>420</v>
      </c>
      <c r="X21" s="4">
        <f t="shared" si="2"/>
        <v>30</v>
      </c>
      <c r="Y21" s="4">
        <f t="shared" si="2"/>
        <v>0</v>
      </c>
      <c r="Z21" s="4">
        <f>SUM(Z3:Z18)</f>
        <v>200</v>
      </c>
      <c r="AA21" s="4">
        <f t="shared" si="2"/>
        <v>0</v>
      </c>
      <c r="AB21" s="4">
        <f t="shared" si="2"/>
        <v>0</v>
      </c>
      <c r="AC21" s="4">
        <f t="shared" si="2"/>
        <v>0</v>
      </c>
      <c r="AD21" s="4"/>
      <c r="AE21" s="4">
        <f>SUM(AE3:AE18)</f>
        <v>8110</v>
      </c>
    </row>
    <row r="22" spans="2:32" x14ac:dyDescent="0.35">
      <c r="C22" t="str">
        <f t="shared" ref="C22:V22" si="3">CONCATENATE(C2,C21)</f>
        <v>Massa 3900</v>
      </c>
      <c r="D22" t="str">
        <f t="shared" si="3"/>
        <v>Molho de tomate 600</v>
      </c>
      <c r="E22" t="str">
        <f t="shared" si="3"/>
        <v>Queijo 1600</v>
      </c>
      <c r="F22" t="str">
        <f t="shared" si="3"/>
        <v>Rucula 0</v>
      </c>
      <c r="G22" t="str">
        <f t="shared" si="3"/>
        <v>Parma 0</v>
      </c>
      <c r="H22" t="str">
        <f t="shared" si="3"/>
        <v>Bacon 300</v>
      </c>
      <c r="I22" t="str">
        <f t="shared" si="3"/>
        <v>Cream chease 150</v>
      </c>
      <c r="J22" t="str">
        <f t="shared" si="3"/>
        <v>Catupiry 0</v>
      </c>
      <c r="K22" t="str">
        <f t="shared" si="3"/>
        <v>Tomate 280</v>
      </c>
      <c r="L22" t="str">
        <f t="shared" si="3"/>
        <v>Manjericão 100</v>
      </c>
      <c r="M22" t="str">
        <f t="shared" si="3"/>
        <v>Milho 130</v>
      </c>
      <c r="N22" t="str">
        <f t="shared" si="3"/>
        <v>Frango 0</v>
      </c>
      <c r="O22" t="str">
        <f t="shared" si="3"/>
        <v>Mussarela de bufula 0</v>
      </c>
      <c r="P22" t="str">
        <f t="shared" si="3"/>
        <v>azeitona 0</v>
      </c>
      <c r="Q22" t="str">
        <f t="shared" si="3"/>
        <v>nutela 450</v>
      </c>
      <c r="R22" t="str">
        <f t="shared" si="3"/>
        <v>banana 300</v>
      </c>
      <c r="S22" t="str">
        <f t="shared" si="3"/>
        <v>goiabada0</v>
      </c>
      <c r="T22" t="str">
        <f t="shared" si="3"/>
        <v>calabresa300</v>
      </c>
      <c r="U22" t="str">
        <f t="shared" si="3"/>
        <v>abobrinha0</v>
      </c>
      <c r="V22" t="str">
        <f t="shared" si="3"/>
        <v>peperoni0</v>
      </c>
      <c r="W22" t="str">
        <f t="shared" ref="W22:AC22" si="4">CONCATENATE(W2,W21)</f>
        <v>mortadela420</v>
      </c>
      <c r="X22" t="str">
        <f t="shared" si="4"/>
        <v>pistache30</v>
      </c>
      <c r="Y22" t="str">
        <f t="shared" si="4"/>
        <v>pernil de porco0</v>
      </c>
      <c r="Z22" t="str">
        <f t="shared" si="4"/>
        <v>qualhada200</v>
      </c>
      <c r="AA22" t="str">
        <f t="shared" si="4"/>
        <v>fraldinha0</v>
      </c>
      <c r="AB22" t="str">
        <f t="shared" si="4"/>
        <v>gorgonzola0</v>
      </c>
      <c r="AC22" t="str">
        <f t="shared" si="4"/>
        <v>doce leite0</v>
      </c>
      <c r="AE22" t="str">
        <f>CONCATENATE(AE2,AE21)</f>
        <v>Total por pizza 8110</v>
      </c>
    </row>
    <row r="24" spans="2:32" x14ac:dyDescent="0.35">
      <c r="B24" s="13" t="s">
        <v>65</v>
      </c>
      <c r="C24" s="13"/>
      <c r="E24" s="8" t="s">
        <v>66</v>
      </c>
    </row>
    <row r="25" spans="2:32" x14ac:dyDescent="0.35">
      <c r="B25" s="4" t="s">
        <v>43</v>
      </c>
      <c r="C25" s="4" t="s">
        <v>11</v>
      </c>
      <c r="E25" s="2" t="s">
        <v>12</v>
      </c>
      <c r="F25" s="2" t="s">
        <v>22</v>
      </c>
      <c r="G25" t="s">
        <v>50</v>
      </c>
    </row>
    <row r="26" spans="2:32" x14ac:dyDescent="0.35">
      <c r="B26" t="str">
        <f>C2</f>
        <v xml:space="preserve">Massa </v>
      </c>
      <c r="C26">
        <f>C21</f>
        <v>3900</v>
      </c>
      <c r="D26" s="11"/>
      <c r="E26" t="s">
        <v>0</v>
      </c>
      <c r="F26" s="9"/>
      <c r="H26" s="7"/>
    </row>
    <row r="27" spans="2:32" x14ac:dyDescent="0.35">
      <c r="B27" t="str">
        <f>D2</f>
        <v xml:space="preserve">Molho de tomate </v>
      </c>
      <c r="C27">
        <f>D21</f>
        <v>600</v>
      </c>
      <c r="D27" s="11"/>
      <c r="E27" t="s">
        <v>1</v>
      </c>
      <c r="F27" s="9">
        <v>2</v>
      </c>
      <c r="H27" s="7"/>
    </row>
    <row r="28" spans="2:32" x14ac:dyDescent="0.35">
      <c r="B28" t="str">
        <f>E2</f>
        <v xml:space="preserve">Queijo </v>
      </c>
      <c r="C28">
        <f>E21</f>
        <v>1600</v>
      </c>
      <c r="D28" s="11">
        <f>C28/base!F3</f>
        <v>10.666666666666666</v>
      </c>
      <c r="E28" t="s">
        <v>2</v>
      </c>
      <c r="F28" s="9">
        <v>2</v>
      </c>
      <c r="H28" s="7"/>
    </row>
    <row r="29" spans="2:32" x14ac:dyDescent="0.35">
      <c r="B29" t="s">
        <v>26</v>
      </c>
      <c r="C29">
        <f>F21</f>
        <v>0</v>
      </c>
      <c r="D29" s="11"/>
      <c r="E29" t="s">
        <v>4</v>
      </c>
      <c r="F29" s="9">
        <v>2</v>
      </c>
      <c r="H29" s="7"/>
    </row>
    <row r="30" spans="2:32" x14ac:dyDescent="0.35">
      <c r="B30" t="s">
        <v>27</v>
      </c>
      <c r="C30">
        <f>G21</f>
        <v>0</v>
      </c>
      <c r="D30" s="11"/>
      <c r="E30" t="s">
        <v>5</v>
      </c>
      <c r="F30" s="9"/>
      <c r="H30" s="7"/>
    </row>
    <row r="31" spans="2:32" x14ac:dyDescent="0.35">
      <c r="B31" t="s">
        <v>28</v>
      </c>
      <c r="C31">
        <f>H21</f>
        <v>300</v>
      </c>
      <c r="D31" s="11">
        <f>C31/base!I5</f>
        <v>4</v>
      </c>
      <c r="E31" t="s">
        <v>3</v>
      </c>
      <c r="F31" s="9"/>
      <c r="H31" s="7"/>
    </row>
    <row r="32" spans="2:32" x14ac:dyDescent="0.35">
      <c r="B32" t="s">
        <v>29</v>
      </c>
      <c r="C32">
        <f>I21</f>
        <v>150</v>
      </c>
      <c r="D32" s="11"/>
      <c r="E32" t="s">
        <v>38</v>
      </c>
      <c r="F32" s="9">
        <v>3</v>
      </c>
      <c r="H32" s="7"/>
    </row>
    <row r="33" spans="2:8" x14ac:dyDescent="0.35">
      <c r="B33" t="s">
        <v>30</v>
      </c>
      <c r="C33">
        <f>J21</f>
        <v>0</v>
      </c>
      <c r="D33" s="11"/>
      <c r="E33" t="s">
        <v>58</v>
      </c>
      <c r="F33" s="9"/>
      <c r="H33" s="7"/>
    </row>
    <row r="34" spans="2:8" x14ac:dyDescent="0.35">
      <c r="B34" t="s">
        <v>31</v>
      </c>
      <c r="C34">
        <f>K21</f>
        <v>280</v>
      </c>
      <c r="D34" s="11">
        <f>C34/70</f>
        <v>4</v>
      </c>
      <c r="E34" t="s">
        <v>60</v>
      </c>
      <c r="F34" s="9">
        <v>2</v>
      </c>
      <c r="H34" s="7"/>
    </row>
    <row r="35" spans="2:8" x14ac:dyDescent="0.35">
      <c r="B35" t="s">
        <v>32</v>
      </c>
      <c r="C35">
        <f>L21</f>
        <v>100</v>
      </c>
      <c r="D35" s="11"/>
      <c r="E35" t="s">
        <v>62</v>
      </c>
      <c r="F35" s="9"/>
      <c r="H35" s="7"/>
    </row>
    <row r="36" spans="2:8" x14ac:dyDescent="0.35">
      <c r="B36" t="s">
        <v>33</v>
      </c>
      <c r="C36">
        <f>M21</f>
        <v>130</v>
      </c>
      <c r="D36" s="11">
        <f>C36/base!N5</f>
        <v>2</v>
      </c>
      <c r="E36" t="s">
        <v>73</v>
      </c>
      <c r="F36" s="9"/>
    </row>
    <row r="37" spans="2:8" x14ac:dyDescent="0.35">
      <c r="B37" t="s">
        <v>34</v>
      </c>
      <c r="C37">
        <f>N21</f>
        <v>0</v>
      </c>
      <c r="D37" s="11"/>
      <c r="E37" t="s">
        <v>75</v>
      </c>
      <c r="F37" s="9"/>
    </row>
    <row r="38" spans="2:8" x14ac:dyDescent="0.35">
      <c r="B38" t="s">
        <v>35</v>
      </c>
      <c r="C38">
        <f>O21</f>
        <v>0</v>
      </c>
      <c r="D38" s="11"/>
      <c r="E38" t="s">
        <v>79</v>
      </c>
      <c r="F38" s="9">
        <v>2</v>
      </c>
    </row>
    <row r="39" spans="2:8" x14ac:dyDescent="0.35">
      <c r="B39" t="s">
        <v>53</v>
      </c>
      <c r="C39">
        <f>P21</f>
        <v>0</v>
      </c>
      <c r="D39" s="11"/>
      <c r="E39" t="s">
        <v>80</v>
      </c>
      <c r="F39" s="9"/>
    </row>
    <row r="40" spans="2:8" x14ac:dyDescent="0.35">
      <c r="B40" t="s">
        <v>41</v>
      </c>
      <c r="C40">
        <f>Q21</f>
        <v>450</v>
      </c>
      <c r="D40" s="11"/>
      <c r="E40" t="s">
        <v>82</v>
      </c>
      <c r="F40" s="9"/>
    </row>
    <row r="41" spans="2:8" x14ac:dyDescent="0.35">
      <c r="B41" t="s">
        <v>40</v>
      </c>
      <c r="C41">
        <f>R21</f>
        <v>300</v>
      </c>
      <c r="D41" s="11"/>
      <c r="E41" t="s">
        <v>84</v>
      </c>
      <c r="F41" s="9"/>
    </row>
    <row r="42" spans="2:8" x14ac:dyDescent="0.35">
      <c r="B42" t="s">
        <v>59</v>
      </c>
      <c r="C42">
        <f>S21</f>
        <v>0</v>
      </c>
      <c r="D42" s="11"/>
      <c r="F42" s="9"/>
    </row>
    <row r="43" spans="2:8" x14ac:dyDescent="0.35">
      <c r="B43" t="s">
        <v>60</v>
      </c>
      <c r="C43">
        <f>T21</f>
        <v>300</v>
      </c>
      <c r="D43" s="11"/>
      <c r="F43" s="9"/>
    </row>
    <row r="44" spans="2:8" x14ac:dyDescent="0.35">
      <c r="B44" t="s">
        <v>61</v>
      </c>
      <c r="C44">
        <f>U21</f>
        <v>0</v>
      </c>
      <c r="D44" s="11"/>
      <c r="F44" s="9"/>
    </row>
    <row r="45" spans="2:8" x14ac:dyDescent="0.35">
      <c r="B45" t="s">
        <v>73</v>
      </c>
      <c r="C45">
        <f>V21</f>
        <v>0</v>
      </c>
      <c r="D45" s="11"/>
      <c r="F45" s="9"/>
    </row>
    <row r="46" spans="2:8" x14ac:dyDescent="0.35">
      <c r="B46" t="s">
        <v>79</v>
      </c>
      <c r="C46">
        <f>W21</f>
        <v>420</v>
      </c>
      <c r="D46" s="11">
        <f>C46/base!X15</f>
        <v>2</v>
      </c>
      <c r="F46" s="9"/>
    </row>
    <row r="47" spans="2:8" x14ac:dyDescent="0.35">
      <c r="B47" t="s">
        <v>77</v>
      </c>
      <c r="C47">
        <f>X21</f>
        <v>30</v>
      </c>
      <c r="D47" s="11"/>
      <c r="E47" s="6" t="s">
        <v>51</v>
      </c>
      <c r="F47" s="2">
        <f>SUM(F26:F46)</f>
        <v>13</v>
      </c>
    </row>
    <row r="48" spans="2:8" x14ac:dyDescent="0.35">
      <c r="B48" t="s">
        <v>80</v>
      </c>
      <c r="C48">
        <f>Y21</f>
        <v>0</v>
      </c>
      <c r="D48" s="11"/>
    </row>
    <row r="49" spans="2:14" x14ac:dyDescent="0.35">
      <c r="B49" t="s">
        <v>81</v>
      </c>
      <c r="C49">
        <f>Z21</f>
        <v>200</v>
      </c>
      <c r="D49" s="11"/>
    </row>
    <row r="50" spans="2:14" x14ac:dyDescent="0.35">
      <c r="B50" t="s">
        <v>82</v>
      </c>
      <c r="C50">
        <f>AA21</f>
        <v>0</v>
      </c>
      <c r="D50" s="11"/>
    </row>
    <row r="51" spans="2:14" x14ac:dyDescent="0.35">
      <c r="B51" t="s">
        <v>83</v>
      </c>
      <c r="C51">
        <f>AB21</f>
        <v>0</v>
      </c>
      <c r="D51" s="11">
        <f>C51/base!AC17</f>
        <v>0</v>
      </c>
    </row>
    <row r="52" spans="2:14" x14ac:dyDescent="0.35">
      <c r="B52" t="s">
        <v>85</v>
      </c>
      <c r="C52">
        <f>AC21</f>
        <v>0</v>
      </c>
      <c r="D52" s="11"/>
    </row>
    <row r="55" spans="2:14" x14ac:dyDescent="0.35">
      <c r="B55" t="s">
        <v>55</v>
      </c>
      <c r="C55">
        <f>SUM(C26:C52)</f>
        <v>8760</v>
      </c>
      <c r="D55" t="s">
        <v>56</v>
      </c>
      <c r="E55" t="s">
        <v>57</v>
      </c>
    </row>
    <row r="56" spans="2:14" x14ac:dyDescent="0.35">
      <c r="D56" s="8">
        <v>10</v>
      </c>
      <c r="E56">
        <f>C55/D56</f>
        <v>876</v>
      </c>
    </row>
    <row r="57" spans="2:14" x14ac:dyDescent="0.35">
      <c r="C57" t="s">
        <v>94</v>
      </c>
    </row>
    <row r="58" spans="2:14" x14ac:dyDescent="0.35">
      <c r="B58" s="6" t="s">
        <v>44</v>
      </c>
      <c r="C58" s="6"/>
      <c r="D58" s="6" t="s">
        <v>49</v>
      </c>
    </row>
    <row r="59" spans="2:14" x14ac:dyDescent="0.35">
      <c r="B59" t="s">
        <v>44</v>
      </c>
      <c r="C59">
        <f>C26</f>
        <v>3900</v>
      </c>
      <c r="D59">
        <f>C59/2</f>
        <v>1950</v>
      </c>
    </row>
    <row r="60" spans="2:14" x14ac:dyDescent="0.35">
      <c r="B60" t="s">
        <v>45</v>
      </c>
      <c r="C60">
        <f>$C$59*0.6</f>
        <v>2340</v>
      </c>
      <c r="D60">
        <f t="shared" ref="D60:D63" si="5">C60/2</f>
        <v>1170</v>
      </c>
      <c r="E60">
        <f>D61/D60</f>
        <v>0.66666666666666663</v>
      </c>
    </row>
    <row r="61" spans="2:14" x14ac:dyDescent="0.35">
      <c r="B61" t="s">
        <v>46</v>
      </c>
      <c r="C61">
        <f>$C$59*0.4</f>
        <v>1560</v>
      </c>
      <c r="D61">
        <f t="shared" si="5"/>
        <v>780</v>
      </c>
    </row>
    <row r="62" spans="2:14" x14ac:dyDescent="0.35">
      <c r="B62" t="s">
        <v>47</v>
      </c>
      <c r="C62">
        <f>$C$61*0.05</f>
        <v>78</v>
      </c>
      <c r="D62">
        <f t="shared" si="5"/>
        <v>39</v>
      </c>
      <c r="H62" t="s">
        <v>88</v>
      </c>
    </row>
    <row r="63" spans="2:14" ht="14.5" customHeight="1" x14ac:dyDescent="0.35">
      <c r="B63" t="s">
        <v>48</v>
      </c>
      <c r="C63">
        <f>$C$59*0.0012</f>
        <v>4.68</v>
      </c>
      <c r="D63">
        <f t="shared" si="5"/>
        <v>2.34</v>
      </c>
      <c r="H63" t="s">
        <v>45</v>
      </c>
      <c r="I63">
        <v>500</v>
      </c>
      <c r="J63">
        <f>I63*K63</f>
        <v>4000</v>
      </c>
      <c r="K63">
        <v>8</v>
      </c>
      <c r="L63" s="14" t="s">
        <v>91</v>
      </c>
      <c r="M63" s="14"/>
      <c r="N63" s="14"/>
    </row>
    <row r="64" spans="2:14" x14ac:dyDescent="0.35">
      <c r="H64" t="s">
        <v>46</v>
      </c>
      <c r="I64">
        <v>295</v>
      </c>
      <c r="J64">
        <f t="shared" ref="J64:J67" si="6">I64*K64</f>
        <v>2360</v>
      </c>
      <c r="K64">
        <v>8</v>
      </c>
      <c r="L64" s="14"/>
      <c r="M64" s="14"/>
      <c r="N64" s="14"/>
    </row>
    <row r="65" spans="2:14" x14ac:dyDescent="0.35">
      <c r="H65" t="s">
        <v>47</v>
      </c>
      <c r="I65">
        <v>17</v>
      </c>
      <c r="J65">
        <f t="shared" si="6"/>
        <v>136</v>
      </c>
      <c r="K65">
        <v>8</v>
      </c>
      <c r="L65" s="14"/>
      <c r="M65" s="14"/>
      <c r="N65" s="14"/>
    </row>
    <row r="66" spans="2:14" x14ac:dyDescent="0.35">
      <c r="B66" t="s">
        <v>67</v>
      </c>
      <c r="H66" t="s">
        <v>86</v>
      </c>
      <c r="I66">
        <v>15</v>
      </c>
      <c r="J66">
        <f t="shared" si="6"/>
        <v>120</v>
      </c>
      <c r="K66">
        <v>8</v>
      </c>
      <c r="L66" s="14"/>
      <c r="M66" s="14"/>
      <c r="N66" s="14"/>
    </row>
    <row r="67" spans="2:14" x14ac:dyDescent="0.35">
      <c r="B67" t="s">
        <v>68</v>
      </c>
      <c r="H67" t="s">
        <v>87</v>
      </c>
      <c r="I67">
        <v>3</v>
      </c>
      <c r="J67">
        <f t="shared" si="6"/>
        <v>27</v>
      </c>
      <c r="K67">
        <v>9</v>
      </c>
      <c r="L67" s="14"/>
      <c r="M67" s="14"/>
      <c r="N67" s="14"/>
    </row>
    <row r="68" spans="2:14" x14ac:dyDescent="0.35">
      <c r="B68" t="s">
        <v>69</v>
      </c>
    </row>
    <row r="69" spans="2:14" x14ac:dyDescent="0.35">
      <c r="B69" t="s">
        <v>70</v>
      </c>
      <c r="K69">
        <f>J64/J63</f>
        <v>0.59</v>
      </c>
    </row>
    <row r="70" spans="2:14" x14ac:dyDescent="0.35">
      <c r="B70" t="s">
        <v>71</v>
      </c>
    </row>
    <row r="71" spans="2:14" x14ac:dyDescent="0.35">
      <c r="B71" t="s">
        <v>72</v>
      </c>
      <c r="H71" s="12" t="s">
        <v>89</v>
      </c>
      <c r="I71" s="12"/>
      <c r="J71" s="12"/>
      <c r="L71" s="15" t="s">
        <v>92</v>
      </c>
      <c r="M71" s="15"/>
      <c r="N71" s="15"/>
    </row>
    <row r="72" spans="2:14" x14ac:dyDescent="0.35">
      <c r="H72" s="12" t="s">
        <v>93</v>
      </c>
      <c r="I72" s="12">
        <f>I73+I74+I75+I76</f>
        <v>1000</v>
      </c>
      <c r="J72" s="12"/>
      <c r="L72" s="15"/>
      <c r="M72" s="15"/>
      <c r="N72" s="15"/>
    </row>
    <row r="73" spans="2:14" x14ac:dyDescent="0.35">
      <c r="H73" s="12" t="s">
        <v>45</v>
      </c>
      <c r="I73" s="12">
        <v>579</v>
      </c>
      <c r="J73" s="12">
        <f>I74/I73</f>
        <v>0.69948186528497414</v>
      </c>
      <c r="L73" s="15"/>
      <c r="M73" s="15"/>
      <c r="N73" s="15"/>
    </row>
    <row r="74" spans="2:14" x14ac:dyDescent="0.35">
      <c r="H74" s="12" t="s">
        <v>46</v>
      </c>
      <c r="I74" s="12">
        <v>405</v>
      </c>
      <c r="J74" s="12"/>
      <c r="L74" s="15"/>
      <c r="M74" s="15"/>
      <c r="N74" s="15"/>
    </row>
    <row r="75" spans="2:14" x14ac:dyDescent="0.35">
      <c r="H75" s="12" t="s">
        <v>90</v>
      </c>
      <c r="I75" s="12">
        <v>14</v>
      </c>
      <c r="J75" s="12"/>
      <c r="L75" s="15"/>
      <c r="M75" s="15"/>
      <c r="N75" s="15"/>
    </row>
    <row r="76" spans="2:14" x14ac:dyDescent="0.35">
      <c r="B76" s="12" t="s">
        <v>95</v>
      </c>
      <c r="C76" s="12"/>
      <c r="D76" s="12" t="s">
        <v>49</v>
      </c>
      <c r="H76" s="12" t="s">
        <v>86</v>
      </c>
      <c r="I76" s="12">
        <v>2</v>
      </c>
      <c r="J76" s="12"/>
    </row>
    <row r="77" spans="2:14" x14ac:dyDescent="0.35">
      <c r="B77" t="s">
        <v>44</v>
      </c>
      <c r="C77">
        <f>C26</f>
        <v>3900</v>
      </c>
      <c r="D77">
        <f>C77/2</f>
        <v>1950</v>
      </c>
    </row>
    <row r="78" spans="2:14" x14ac:dyDescent="0.35">
      <c r="B78" t="s">
        <v>45</v>
      </c>
      <c r="C78">
        <f>$C$59*0.58</f>
        <v>2262</v>
      </c>
      <c r="D78">
        <f t="shared" ref="D78:D81" si="7">C78/2</f>
        <v>1131</v>
      </c>
    </row>
    <row r="79" spans="2:14" x14ac:dyDescent="0.35">
      <c r="B79" t="s">
        <v>46</v>
      </c>
      <c r="C79">
        <f>$C$59*0.405</f>
        <v>1579.5</v>
      </c>
      <c r="D79">
        <f t="shared" si="7"/>
        <v>789.75</v>
      </c>
    </row>
    <row r="80" spans="2:14" x14ac:dyDescent="0.35">
      <c r="B80" t="s">
        <v>47</v>
      </c>
      <c r="C80">
        <f>$C$59*0.014</f>
        <v>54.6</v>
      </c>
      <c r="D80">
        <f t="shared" si="7"/>
        <v>27.3</v>
      </c>
    </row>
    <row r="81" spans="2:4" x14ac:dyDescent="0.35">
      <c r="B81" t="s">
        <v>48</v>
      </c>
      <c r="C81">
        <f>$C$59*0.002</f>
        <v>7.8</v>
      </c>
      <c r="D81">
        <f t="shared" si="7"/>
        <v>3.9</v>
      </c>
    </row>
  </sheetData>
  <mergeCells count="3">
    <mergeCell ref="B24:C24"/>
    <mergeCell ref="L63:N67"/>
    <mergeCell ref="L71:N75"/>
  </mergeCells>
  <pageMargins left="0.511811024" right="0.511811024" top="0.78740157499999996" bottom="0.78740157499999996" header="0.31496062000000002" footer="0.31496062000000002"/>
  <ignoredErrors>
    <ignoredError sqref="AE11:AE13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2459A-9A13-444C-A3BD-62C1B34441B3}">
  <dimension ref="A1:E15"/>
  <sheetViews>
    <sheetView workbookViewId="0">
      <selection sqref="A1:E15"/>
    </sheetView>
  </sheetViews>
  <sheetFormatPr defaultRowHeight="14.5" x14ac:dyDescent="0.35"/>
  <cols>
    <col min="1" max="1" width="16.81640625" bestFit="1" customWidth="1"/>
    <col min="3" max="3" width="18" bestFit="1" customWidth="1"/>
    <col min="4" max="4" width="10.36328125" bestFit="1" customWidth="1"/>
  </cols>
  <sheetData>
    <row r="1" spans="1:5" x14ac:dyDescent="0.35">
      <c r="A1" s="10" t="s">
        <v>43</v>
      </c>
      <c r="B1" s="10" t="s">
        <v>11</v>
      </c>
      <c r="C1" s="10" t="s">
        <v>12</v>
      </c>
      <c r="D1" s="10" t="s">
        <v>22</v>
      </c>
    </row>
    <row r="2" spans="1:5" x14ac:dyDescent="0.35">
      <c r="A2" t="s">
        <v>23</v>
      </c>
      <c r="B2" s="1">
        <v>3900</v>
      </c>
      <c r="C2" t="s">
        <v>1</v>
      </c>
      <c r="D2" s="1">
        <v>2</v>
      </c>
    </row>
    <row r="3" spans="1:5" x14ac:dyDescent="0.35">
      <c r="A3" t="s">
        <v>24</v>
      </c>
      <c r="B3" s="1">
        <v>600</v>
      </c>
      <c r="C3" t="s">
        <v>2</v>
      </c>
      <c r="D3" s="1">
        <v>2</v>
      </c>
    </row>
    <row r="4" spans="1:5" x14ac:dyDescent="0.35">
      <c r="A4" t="s">
        <v>25</v>
      </c>
      <c r="B4" s="1">
        <v>1600</v>
      </c>
      <c r="C4" t="s">
        <v>4</v>
      </c>
      <c r="D4" s="1">
        <v>2</v>
      </c>
    </row>
    <row r="5" spans="1:5" x14ac:dyDescent="0.35">
      <c r="A5" t="s">
        <v>28</v>
      </c>
      <c r="B5" s="1">
        <v>300</v>
      </c>
      <c r="C5" t="s">
        <v>38</v>
      </c>
      <c r="D5" s="1">
        <v>3</v>
      </c>
    </row>
    <row r="6" spans="1:5" x14ac:dyDescent="0.35">
      <c r="A6" t="s">
        <v>29</v>
      </c>
      <c r="B6" s="1">
        <v>150</v>
      </c>
      <c r="C6" t="s">
        <v>60</v>
      </c>
      <c r="D6" s="1">
        <v>2</v>
      </c>
    </row>
    <row r="7" spans="1:5" x14ac:dyDescent="0.35">
      <c r="A7" t="s">
        <v>31</v>
      </c>
      <c r="B7" s="1">
        <v>280</v>
      </c>
      <c r="C7" t="s">
        <v>79</v>
      </c>
      <c r="D7" s="1">
        <v>2</v>
      </c>
    </row>
    <row r="8" spans="1:5" x14ac:dyDescent="0.35">
      <c r="A8" t="s">
        <v>32</v>
      </c>
      <c r="B8" s="1">
        <v>100</v>
      </c>
    </row>
    <row r="9" spans="1:5" x14ac:dyDescent="0.35">
      <c r="A9" t="s">
        <v>33</v>
      </c>
      <c r="B9" s="1">
        <v>130</v>
      </c>
      <c r="C9" s="16" t="s">
        <v>44</v>
      </c>
      <c r="D9" s="16"/>
      <c r="E9" s="16" t="s">
        <v>49</v>
      </c>
    </row>
    <row r="10" spans="1:5" x14ac:dyDescent="0.35">
      <c r="A10" t="s">
        <v>41</v>
      </c>
      <c r="B10" s="1">
        <v>450</v>
      </c>
      <c r="C10" t="s">
        <v>44</v>
      </c>
      <c r="D10">
        <v>3900</v>
      </c>
      <c r="E10">
        <v>1950</v>
      </c>
    </row>
    <row r="11" spans="1:5" x14ac:dyDescent="0.35">
      <c r="A11" t="s">
        <v>40</v>
      </c>
      <c r="B11" s="1">
        <v>300</v>
      </c>
      <c r="C11" t="s">
        <v>45</v>
      </c>
      <c r="D11">
        <v>2340</v>
      </c>
      <c r="E11">
        <v>1170</v>
      </c>
    </row>
    <row r="12" spans="1:5" x14ac:dyDescent="0.35">
      <c r="A12" t="s">
        <v>60</v>
      </c>
      <c r="B12" s="1">
        <v>300</v>
      </c>
      <c r="C12" t="s">
        <v>46</v>
      </c>
      <c r="D12">
        <v>1560</v>
      </c>
      <c r="E12">
        <v>780</v>
      </c>
    </row>
    <row r="13" spans="1:5" x14ac:dyDescent="0.35">
      <c r="A13" t="s">
        <v>79</v>
      </c>
      <c r="B13" s="1">
        <v>420</v>
      </c>
      <c r="C13" t="s">
        <v>47</v>
      </c>
      <c r="D13">
        <v>78</v>
      </c>
      <c r="E13">
        <v>39</v>
      </c>
    </row>
    <row r="14" spans="1:5" x14ac:dyDescent="0.35">
      <c r="A14" t="s">
        <v>77</v>
      </c>
      <c r="B14" s="1">
        <v>30</v>
      </c>
      <c r="C14" t="s">
        <v>48</v>
      </c>
      <c r="D14">
        <v>4.68</v>
      </c>
      <c r="E14">
        <v>2.34</v>
      </c>
    </row>
    <row r="15" spans="1:5" x14ac:dyDescent="0.35">
      <c r="A15" t="s">
        <v>81</v>
      </c>
      <c r="B15" s="1">
        <v>200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</vt:lpstr>
      <vt:lpstr>final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Ogera Malavazi (GLMOUTS)</dc:creator>
  <cp:lastModifiedBy>Guilherme Ogera Malavazi</cp:lastModifiedBy>
  <dcterms:created xsi:type="dcterms:W3CDTF">2023-10-24T22:50:13Z</dcterms:created>
  <dcterms:modified xsi:type="dcterms:W3CDTF">2026-09-09T23:59:10Z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2023-10-24T22:50:13Z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8e33b3a0-79c3-4234-bad3-43f2c8fcd42a</vt:lpwstr>
  </property>
  <property fmtid="{D5CDD505-2E9C-101B-9397-08002B2CF9AE}" pid="8" name="MSIP_Label_68104b14-b53d-46de-9ae8-975cc0e84815_ContentBits">
    <vt:lpwstr>0</vt:lpwstr>
  </property>
  <property fmtid="{D5CDD505-2E9C-101B-9397-08002B2CF9AE}" pid="9" name="TitusGUID">
    <vt:lpwstr>f19ac2de-fd15-4361-8367-20ce388cb096</vt:lpwstr>
  </property>
  <property fmtid="{D5CDD505-2E9C-101B-9397-08002B2CF9AE}" pid="10" name="ABClassification">
    <vt:lpwstr>StrictlyConfidential</vt:lpwstr>
  </property>
</Properties>
</file>